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ack Note\Music\Lampreg Weekly Report\Stastics and percentage calculation APHI\Final\Final Data Analysis with Diffrent Parameter\"/>
    </mc:Choice>
  </mc:AlternateContent>
  <bookViews>
    <workbookView xWindow="0" yWindow="0" windowWidth="23040" windowHeight="9192"/>
  </bookViews>
  <sheets>
    <sheet name="GGH- Maternal Hemg at Delivery" sheetId="1" r:id="rId1"/>
    <sheet name="UHC-Maternal Hemg at Delivery" sheetId="5" r:id="rId2"/>
    <sheet name="GSH-Maternal Hemg at Delivery " sheetId="3" r:id="rId3"/>
    <sheet name="GPH-Maternal Hemg at Delivery" sheetId="2" r:id="rId4"/>
    <sheet name="KHC-Maternal Hemg at Delivery" sheetId="4" r:id="rId5"/>
  </sheets>
  <calcPr calcId="162913"/>
</workbook>
</file>

<file path=xl/calcChain.xml><?xml version="1.0" encoding="utf-8"?>
<calcChain xmlns="http://schemas.openxmlformats.org/spreadsheetml/2006/main">
  <c r="K33" i="2" l="1"/>
  <c r="K31" i="2"/>
  <c r="K30" i="2"/>
  <c r="K32" i="2" s="1"/>
  <c r="K34" i="2" s="1"/>
  <c r="K19" i="2"/>
  <c r="K17" i="2"/>
  <c r="K16" i="2"/>
  <c r="K18" i="2" s="1"/>
  <c r="K20" i="2" s="1"/>
  <c r="K8" i="2"/>
  <c r="K6" i="2"/>
  <c r="K5" i="2"/>
  <c r="K7" i="2" s="1"/>
  <c r="K9" i="2" s="1"/>
  <c r="H35" i="2" a="1"/>
  <c r="H35" i="2" s="1"/>
  <c r="G35" i="2" a="1"/>
  <c r="G35" i="2" s="1"/>
  <c r="H21" i="2" a="1"/>
  <c r="H21" i="2" s="1"/>
  <c r="G21" i="2" a="1"/>
  <c r="G21" i="2" s="1"/>
  <c r="H11" i="2" a="1"/>
  <c r="H11" i="2" s="1"/>
  <c r="G11" i="2" a="1"/>
  <c r="G11" i="2" s="1"/>
  <c r="K33" i="3"/>
  <c r="K31" i="3"/>
  <c r="K30" i="3"/>
  <c r="K32" i="3" s="1"/>
  <c r="K34" i="3" s="1"/>
  <c r="K19" i="3"/>
  <c r="K17" i="3"/>
  <c r="K16" i="3"/>
  <c r="K18" i="3" s="1"/>
  <c r="K20" i="3" s="1"/>
  <c r="K8" i="3"/>
  <c r="K6" i="3"/>
  <c r="K5" i="3"/>
  <c r="K7" i="3" s="1"/>
  <c r="K9" i="3" s="1"/>
  <c r="H35" i="3" a="1"/>
  <c r="H35" i="3" s="1"/>
  <c r="G35" i="3" a="1"/>
  <c r="G35" i="3" s="1"/>
  <c r="H21" i="3" a="1"/>
  <c r="H21" i="3" s="1"/>
  <c r="G21" i="3" a="1"/>
  <c r="G21" i="3" s="1"/>
  <c r="H11" i="3" a="1"/>
  <c r="H11" i="3" s="1"/>
  <c r="G11" i="3" a="1"/>
  <c r="G11" i="3" s="1"/>
  <c r="K33" i="5"/>
  <c r="K31" i="5"/>
  <c r="K30" i="5"/>
  <c r="K32" i="5" s="1"/>
  <c r="K34" i="5" s="1"/>
  <c r="K19" i="5"/>
  <c r="K17" i="5"/>
  <c r="K16" i="5"/>
  <c r="K18" i="5" s="1"/>
  <c r="K20" i="5" s="1"/>
  <c r="K8" i="5"/>
  <c r="K6" i="5"/>
  <c r="K5" i="5"/>
  <c r="K7" i="5" s="1"/>
  <c r="K9" i="5" s="1"/>
  <c r="H35" i="5" a="1"/>
  <c r="H35" i="5" s="1"/>
  <c r="G35" i="5" a="1"/>
  <c r="G35" i="5" s="1"/>
  <c r="H21" i="5" a="1"/>
  <c r="H21" i="5" s="1"/>
  <c r="G21" i="5" a="1"/>
  <c r="G21" i="5" s="1"/>
  <c r="H11" i="5" a="1"/>
  <c r="H11" i="5" s="1"/>
  <c r="G11" i="5" a="1"/>
  <c r="G11" i="5" s="1"/>
  <c r="K31" i="1"/>
  <c r="H35" i="1" a="1"/>
  <c r="H35" i="1" s="1"/>
  <c r="G35" i="1" a="1"/>
  <c r="G35" i="1" s="1"/>
  <c r="K17" i="1"/>
  <c r="K18" i="1" s="1"/>
  <c r="K20" i="1" s="1"/>
  <c r="H21" i="1" a="1"/>
  <c r="H21" i="1" s="1"/>
  <c r="G21" i="1" a="1"/>
  <c r="G21" i="1" s="1"/>
  <c r="K33" i="1"/>
  <c r="K32" i="1"/>
  <c r="K34" i="1" s="1"/>
  <c r="K30" i="1"/>
  <c r="K19" i="1"/>
  <c r="K16" i="1"/>
  <c r="K9" i="1"/>
  <c r="K7" i="1"/>
  <c r="K6" i="1"/>
  <c r="K5" i="1"/>
  <c r="K8" i="1"/>
  <c r="H11" i="1" a="1"/>
  <c r="H11" i="1" s="1"/>
  <c r="G11" i="1" a="1"/>
  <c r="G11" i="1" s="1"/>
  <c r="H17" i="5" l="1"/>
  <c r="G17" i="5"/>
  <c r="E3" i="4" l="1"/>
  <c r="E2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2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2" i="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2" i="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2" i="1"/>
  <c r="G16" i="2"/>
  <c r="G45" i="2"/>
  <c r="G46" i="2" s="1"/>
  <c r="H33" i="2"/>
  <c r="G33" i="2"/>
  <c r="H31" i="2"/>
  <c r="H32" i="2" s="1"/>
  <c r="G31" i="2"/>
  <c r="G32" i="2" s="1"/>
  <c r="H16" i="1"/>
  <c r="G16" i="1"/>
  <c r="H16" i="2"/>
  <c r="G17" i="2"/>
  <c r="G44" i="2"/>
  <c r="G43" i="2"/>
  <c r="H34" i="2" a="1"/>
  <c r="H34" i="2" s="1"/>
  <c r="G34" i="2" a="1"/>
  <c r="G34" i="2" s="1"/>
  <c r="H30" i="2"/>
  <c r="G30" i="2"/>
  <c r="H20" i="2" a="1"/>
  <c r="H20" i="2" s="1"/>
  <c r="G20" i="2" a="1"/>
  <c r="G20" i="2" s="1"/>
  <c r="H19" i="2"/>
  <c r="G19" i="2"/>
  <c r="H17" i="2"/>
  <c r="H10" i="2" a="1"/>
  <c r="H10" i="2" s="1"/>
  <c r="G10" i="2" a="1"/>
  <c r="G10" i="2" s="1"/>
  <c r="H9" i="2"/>
  <c r="G9" i="2"/>
  <c r="H7" i="2"/>
  <c r="G7" i="2"/>
  <c r="H6" i="2"/>
  <c r="G6" i="2"/>
  <c r="H34" i="3" a="1"/>
  <c r="H34" i="3" s="1"/>
  <c r="H33" i="3"/>
  <c r="G33" i="3" a="1"/>
  <c r="G33" i="3" s="1"/>
  <c r="H20" i="3" a="1"/>
  <c r="H20" i="3" s="1"/>
  <c r="G20" i="3" a="1"/>
  <c r="G20" i="3" s="1"/>
  <c r="H19" i="3" a="1"/>
  <c r="H19" i="3" s="1"/>
  <c r="G19" i="3" a="1"/>
  <c r="G19" i="3" s="1"/>
  <c r="G20" i="1" a="1"/>
  <c r="G20" i="1" s="1"/>
  <c r="H20" i="1" a="1"/>
  <c r="H20" i="1" s="1"/>
  <c r="H19" i="1"/>
  <c r="G19" i="1"/>
  <c r="H17" i="1"/>
  <c r="G17" i="1"/>
  <c r="G17" i="3"/>
  <c r="G18" i="3" s="1"/>
  <c r="H17" i="3"/>
  <c r="H18" i="3" s="1"/>
  <c r="H31" i="3"/>
  <c r="G31" i="3"/>
  <c r="G46" i="3"/>
  <c r="G45" i="3"/>
  <c r="G44" i="3"/>
  <c r="G43" i="3"/>
  <c r="G34" i="3" a="1"/>
  <c r="G34" i="3" s="1"/>
  <c r="H30" i="3"/>
  <c r="G30" i="3"/>
  <c r="H16" i="3"/>
  <c r="G16" i="3"/>
  <c r="H10" i="3" a="1"/>
  <c r="H10" i="3" s="1"/>
  <c r="G10" i="3" a="1"/>
  <c r="G10" i="3" s="1"/>
  <c r="H9" i="3"/>
  <c r="G9" i="3"/>
  <c r="H8" i="3"/>
  <c r="G8" i="3"/>
  <c r="H7" i="3"/>
  <c r="G7" i="3"/>
  <c r="H6" i="3"/>
  <c r="G6" i="3"/>
  <c r="H34" i="5" a="1"/>
  <c r="H34" i="5" s="1"/>
  <c r="G34" i="5" a="1"/>
  <c r="G34" i="5" s="1"/>
  <c r="H33" i="5"/>
  <c r="G33" i="5"/>
  <c r="H31" i="5"/>
  <c r="G31" i="5"/>
  <c r="H30" i="5"/>
  <c r="G30" i="5"/>
  <c r="G45" i="5"/>
  <c r="G46" i="5" s="1"/>
  <c r="G44" i="5"/>
  <c r="G43" i="5"/>
  <c r="G45" i="1" a="1"/>
  <c r="G45" i="1" s="1"/>
  <c r="G46" i="1" s="1"/>
  <c r="G31" i="1"/>
  <c r="G44" i="1"/>
  <c r="G43" i="1"/>
  <c r="H34" i="1" a="1"/>
  <c r="H34" i="1" s="1"/>
  <c r="G34" i="1" a="1"/>
  <c r="G34" i="1" s="1"/>
  <c r="H33" i="1"/>
  <c r="G33" i="1"/>
  <c r="H31" i="1"/>
  <c r="H32" i="1" s="1"/>
  <c r="H30" i="1"/>
  <c r="G30" i="1"/>
  <c r="H16" i="5"/>
  <c r="H7" i="5"/>
  <c r="H20" i="5" a="1"/>
  <c r="H20" i="5" s="1"/>
  <c r="G20" i="5" a="1"/>
  <c r="G20" i="5" s="1"/>
  <c r="H19" i="5"/>
  <c r="G19" i="5"/>
  <c r="G16" i="5"/>
  <c r="G18" i="5" s="1"/>
  <c r="H10" i="5" a="1"/>
  <c r="H10" i="5" s="1"/>
  <c r="G10" i="5" a="1"/>
  <c r="G10" i="5" s="1"/>
  <c r="H9" i="5"/>
  <c r="G9" i="5"/>
  <c r="G7" i="5"/>
  <c r="H6" i="5"/>
  <c r="G6" i="5"/>
  <c r="H7" i="1"/>
  <c r="G7" i="1"/>
  <c r="G32" i="5" l="1"/>
  <c r="H32" i="5"/>
  <c r="H18" i="5"/>
  <c r="H32" i="3"/>
  <c r="G32" i="1"/>
  <c r="G8" i="2"/>
  <c r="H8" i="2"/>
  <c r="G32" i="3"/>
  <c r="G18" i="2"/>
  <c r="H18" i="2"/>
  <c r="G8" i="5"/>
  <c r="H8" i="5"/>
  <c r="H10" i="1" a="1"/>
  <c r="H10" i="1" s="1"/>
  <c r="G10" i="1" a="1"/>
  <c r="G10" i="1" s="1"/>
  <c r="H9" i="1"/>
  <c r="G9" i="1"/>
  <c r="H6" i="1"/>
  <c r="G6" i="1"/>
  <c r="H8" i="1" s="1"/>
  <c r="G8" i="1" l="1"/>
  <c r="H18" i="1"/>
  <c r="G18" i="1"/>
</calcChain>
</file>

<file path=xl/sharedStrings.xml><?xml version="1.0" encoding="utf-8"?>
<sst xmlns="http://schemas.openxmlformats.org/spreadsheetml/2006/main" count="1499" uniqueCount="671">
  <si>
    <t>Event Name</t>
  </si>
  <si>
    <t>Result</t>
  </si>
  <si>
    <t xml:space="preserve">Gravidity:   </t>
  </si>
  <si>
    <t>GGH-001</t>
  </si>
  <si>
    <t>GGH-002</t>
  </si>
  <si>
    <t>GGH-004</t>
  </si>
  <si>
    <t>GGH-005</t>
  </si>
  <si>
    <t>GGH-006</t>
  </si>
  <si>
    <t>GGH-012</t>
  </si>
  <si>
    <t>GGH-014</t>
  </si>
  <si>
    <t>GGH-017</t>
  </si>
  <si>
    <t>GGH-018</t>
  </si>
  <si>
    <t>GGH-019</t>
  </si>
  <si>
    <t>GGH-029</t>
  </si>
  <si>
    <t>GGH-033</t>
  </si>
  <si>
    <t>GGH-034</t>
  </si>
  <si>
    <t>GGH-036</t>
  </si>
  <si>
    <t>GGH-038</t>
  </si>
  <si>
    <t>GGH-039</t>
  </si>
  <si>
    <t>GGH-044</t>
  </si>
  <si>
    <t>GGH-050</t>
  </si>
  <si>
    <t>GGH-051</t>
  </si>
  <si>
    <t>GGH-053</t>
  </si>
  <si>
    <t>GGH-055</t>
  </si>
  <si>
    <t>GGH-057</t>
  </si>
  <si>
    <t>GGH-060</t>
  </si>
  <si>
    <t>GGH-061</t>
  </si>
  <si>
    <t>GGH-065</t>
  </si>
  <si>
    <t>GGH-066</t>
  </si>
  <si>
    <t>GGH-068</t>
  </si>
  <si>
    <t>GGH-069</t>
  </si>
  <si>
    <t>GGH-072</t>
  </si>
  <si>
    <t>GGH-073</t>
  </si>
  <si>
    <t>GGH-076</t>
  </si>
  <si>
    <t>GGH-079</t>
  </si>
  <si>
    <t>GGH-087</t>
  </si>
  <si>
    <t>GGH-089</t>
  </si>
  <si>
    <t>GGH-094</t>
  </si>
  <si>
    <t>GGH-101</t>
  </si>
  <si>
    <t>GGH-102</t>
  </si>
  <si>
    <t>GGH-109</t>
  </si>
  <si>
    <t>GGH-110</t>
  </si>
  <si>
    <t>GGH-114</t>
  </si>
  <si>
    <t>GGH-116</t>
  </si>
  <si>
    <t>GGH-120</t>
  </si>
  <si>
    <t>GGH-121</t>
  </si>
  <si>
    <t>GGH-122</t>
  </si>
  <si>
    <t>GGH-126</t>
  </si>
  <si>
    <t>GGH-127</t>
  </si>
  <si>
    <t>GGH-129</t>
  </si>
  <si>
    <t>GGH-131</t>
  </si>
  <si>
    <t>GGH-132</t>
  </si>
  <si>
    <t>GGH-141</t>
  </si>
  <si>
    <t>GGH-142</t>
  </si>
  <si>
    <t>GGH-144</t>
  </si>
  <si>
    <t>GGH-145</t>
  </si>
  <si>
    <t>GGH-146</t>
  </si>
  <si>
    <t>GGH-147</t>
  </si>
  <si>
    <t>GGH-148</t>
  </si>
  <si>
    <t>GGH-150</t>
  </si>
  <si>
    <t>GGH-151</t>
  </si>
  <si>
    <t>GGH-153</t>
  </si>
  <si>
    <t>GGH-155</t>
  </si>
  <si>
    <t>GGH-156</t>
  </si>
  <si>
    <t>GGH-158</t>
  </si>
  <si>
    <t>GGH-159</t>
  </si>
  <si>
    <t>GGH-160</t>
  </si>
  <si>
    <t>GGH-161</t>
  </si>
  <si>
    <t>GGH-164</t>
  </si>
  <si>
    <t>GGH-165</t>
  </si>
  <si>
    <t>GGH-166</t>
  </si>
  <si>
    <t>GGH-167</t>
  </si>
  <si>
    <t>GGH-168</t>
  </si>
  <si>
    <t>GGH-177</t>
  </si>
  <si>
    <t>GGH-178</t>
  </si>
  <si>
    <t>GGH-179</t>
  </si>
  <si>
    <t>GGH-180</t>
  </si>
  <si>
    <t>GGH-182</t>
  </si>
  <si>
    <t>GGH-183</t>
  </si>
  <si>
    <t>GGH-187</t>
  </si>
  <si>
    <t>GGH-190</t>
  </si>
  <si>
    <t>GGH-192</t>
  </si>
  <si>
    <t>GGH-193</t>
  </si>
  <si>
    <t>GGH-195</t>
  </si>
  <si>
    <t>GGH-196</t>
  </si>
  <si>
    <t>GGH-199</t>
  </si>
  <si>
    <t>GGH-200</t>
  </si>
  <si>
    <t>GGH-202</t>
  </si>
  <si>
    <t>GGH-203</t>
  </si>
  <si>
    <t>GGH-205</t>
  </si>
  <si>
    <t>GGH-207</t>
  </si>
  <si>
    <t>GGH-213</t>
  </si>
  <si>
    <t>GGH-216</t>
  </si>
  <si>
    <t>GGH-219</t>
  </si>
  <si>
    <t>GGH-221</t>
  </si>
  <si>
    <t>GGH-223</t>
  </si>
  <si>
    <t>GGH-226</t>
  </si>
  <si>
    <t>GGH-227</t>
  </si>
  <si>
    <t>GGH-228</t>
  </si>
  <si>
    <t>GGH-229</t>
  </si>
  <si>
    <t>GGH-231</t>
  </si>
  <si>
    <t>GGH-232</t>
  </si>
  <si>
    <t>GGH-235</t>
  </si>
  <si>
    <t>GGH-236</t>
  </si>
  <si>
    <t>GGH-237</t>
  </si>
  <si>
    <t>GGH-239</t>
  </si>
  <si>
    <t>GGH-240</t>
  </si>
  <si>
    <t>GGH-243</t>
  </si>
  <si>
    <t>GGH-244</t>
  </si>
  <si>
    <t>GGH-245</t>
  </si>
  <si>
    <t>GGH-246</t>
  </si>
  <si>
    <t>GGH-248</t>
  </si>
  <si>
    <t>GGH-250</t>
  </si>
  <si>
    <t>GGH-251</t>
  </si>
  <si>
    <t>GGH-252</t>
  </si>
  <si>
    <t>GGH-253</t>
  </si>
  <si>
    <t>GGH-259</t>
  </si>
  <si>
    <t>GGH-260</t>
  </si>
  <si>
    <t>GGH-261</t>
  </si>
  <si>
    <t>GGH-263</t>
  </si>
  <si>
    <t>GGH-266</t>
  </si>
  <si>
    <t>GGH-268</t>
  </si>
  <si>
    <t>GGH-269</t>
  </si>
  <si>
    <t>GGH-270</t>
  </si>
  <si>
    <t>GGH-271</t>
  </si>
  <si>
    <t>GGH-272</t>
  </si>
  <si>
    <t>GGH-273</t>
  </si>
  <si>
    <t>GGH-275</t>
  </si>
  <si>
    <t>GGH-276</t>
  </si>
  <si>
    <t>GGH-277</t>
  </si>
  <si>
    <t>GGH-278</t>
  </si>
  <si>
    <t>GGH-281</t>
  </si>
  <si>
    <t>GGH-282</t>
  </si>
  <si>
    <t>GGH-283</t>
  </si>
  <si>
    <t>GGH-284</t>
  </si>
  <si>
    <t>GGH-285</t>
  </si>
  <si>
    <t>GGH-288</t>
  </si>
  <si>
    <t>GGH-291</t>
  </si>
  <si>
    <t>GGH-292</t>
  </si>
  <si>
    <t>GGH-293</t>
  </si>
  <si>
    <t>GGH-295</t>
  </si>
  <si>
    <t>GGH-296</t>
  </si>
  <si>
    <t>GGH-297</t>
  </si>
  <si>
    <t>GGH-299</t>
  </si>
  <si>
    <t>GGH-301</t>
  </si>
  <si>
    <t>GGH-303</t>
  </si>
  <si>
    <t>GGH-304</t>
  </si>
  <si>
    <t>GGH-306</t>
  </si>
  <si>
    <t>GGH-307</t>
  </si>
  <si>
    <t>GGH-308</t>
  </si>
  <si>
    <t>GGH-311</t>
  </si>
  <si>
    <t>GGH-312</t>
  </si>
  <si>
    <t>GGH-315</t>
  </si>
  <si>
    <t>GGH-316</t>
  </si>
  <si>
    <t>GGH-318</t>
  </si>
  <si>
    <t>GGH-319</t>
  </si>
  <si>
    <t>GGH-320</t>
  </si>
  <si>
    <t>GGH-321</t>
  </si>
  <si>
    <t>GGH-322</t>
  </si>
  <si>
    <t>GGH-324</t>
  </si>
  <si>
    <t>GGH-328</t>
  </si>
  <si>
    <t>GGH-329</t>
  </si>
  <si>
    <t>GGH-331</t>
  </si>
  <si>
    <t>GGH-332</t>
  </si>
  <si>
    <t>GGH-336</t>
  </si>
  <si>
    <t>GGH-337</t>
  </si>
  <si>
    <t>GGH-339</t>
  </si>
  <si>
    <t>GGH-340</t>
  </si>
  <si>
    <t>GGH-341</t>
  </si>
  <si>
    <t>GGH-342</t>
  </si>
  <si>
    <t>GGH-344</t>
  </si>
  <si>
    <t>GGH-347</t>
  </si>
  <si>
    <t>GGH-350</t>
  </si>
  <si>
    <t>GGH-351</t>
  </si>
  <si>
    <t>GGH-353</t>
  </si>
  <si>
    <t>GGH-354</t>
  </si>
  <si>
    <t>GGH-356</t>
  </si>
  <si>
    <t>GGH-357</t>
  </si>
  <si>
    <t>GGH-358</t>
  </si>
  <si>
    <t>GGH-359</t>
  </si>
  <si>
    <t>GGH-360</t>
  </si>
  <si>
    <t>GGH-361</t>
  </si>
  <si>
    <t>GGH-363</t>
  </si>
  <si>
    <t>GGH-366</t>
  </si>
  <si>
    <t>GGH-368</t>
  </si>
  <si>
    <t>GGH-369</t>
  </si>
  <si>
    <t>GGH-370</t>
  </si>
  <si>
    <t>GGH-373</t>
  </si>
  <si>
    <t>GGH-374</t>
  </si>
  <si>
    <t>GGH-375</t>
  </si>
  <si>
    <t>GGH-376</t>
  </si>
  <si>
    <t>GGH-377</t>
  </si>
  <si>
    <t>GGH-379</t>
  </si>
  <si>
    <t>GGH-380</t>
  </si>
  <si>
    <t>GGH-381</t>
  </si>
  <si>
    <t>GGH-382</t>
  </si>
  <si>
    <t>GGH-384</t>
  </si>
  <si>
    <t>GGH-385</t>
  </si>
  <si>
    <t>GPH-002</t>
  </si>
  <si>
    <t>GPH-005</t>
  </si>
  <si>
    <t>GPH-006</t>
  </si>
  <si>
    <t>GPH-010</t>
  </si>
  <si>
    <t>GPH-011</t>
  </si>
  <si>
    <t>GPH-013</t>
  </si>
  <si>
    <t>GPH-014</t>
  </si>
  <si>
    <t>GPH-015</t>
  </si>
  <si>
    <t>GPH-021</t>
  </si>
  <si>
    <t>GPH-024</t>
  </si>
  <si>
    <t>GPH-025</t>
  </si>
  <si>
    <t>GPH-026</t>
  </si>
  <si>
    <t>GPH-028</t>
  </si>
  <si>
    <t>GPH-029</t>
  </si>
  <si>
    <t>GPH-038</t>
  </si>
  <si>
    <t>GPH-047</t>
  </si>
  <si>
    <t>GPH-048</t>
  </si>
  <si>
    <t>GPH-052</t>
  </si>
  <si>
    <t>GPH-061</t>
  </si>
  <si>
    <t>GPH-062</t>
  </si>
  <si>
    <t>GPH-065</t>
  </si>
  <si>
    <t>GPH-066</t>
  </si>
  <si>
    <t>GPH-069</t>
  </si>
  <si>
    <t>GPH-071</t>
  </si>
  <si>
    <t>GPH-076</t>
  </si>
  <si>
    <t>GPH-077</t>
  </si>
  <si>
    <t>GPH-078</t>
  </si>
  <si>
    <t>GPH-081</t>
  </si>
  <si>
    <t>GPH-082</t>
  </si>
  <si>
    <t>GPH-084</t>
  </si>
  <si>
    <t>GPH-094</t>
  </si>
  <si>
    <t>GPH-099</t>
  </si>
  <si>
    <t>GPH-101</t>
  </si>
  <si>
    <t>GPH-104</t>
  </si>
  <si>
    <t>GPH-117</t>
  </si>
  <si>
    <t>GPH-118</t>
  </si>
  <si>
    <t>GPH-120</t>
  </si>
  <si>
    <t>GPH-125</t>
  </si>
  <si>
    <t>GPH-126</t>
  </si>
  <si>
    <t>GPH-128</t>
  </si>
  <si>
    <t>GPH-130</t>
  </si>
  <si>
    <t>GPH-132</t>
  </si>
  <si>
    <t>GPH-140</t>
  </si>
  <si>
    <t>GPH-143</t>
  </si>
  <si>
    <t>GPH-144</t>
  </si>
  <si>
    <t>GPH-149</t>
  </si>
  <si>
    <t>GPH-151</t>
  </si>
  <si>
    <t>GPH-155</t>
  </si>
  <si>
    <t>GPH-158</t>
  </si>
  <si>
    <t>GPH-160</t>
  </si>
  <si>
    <t>GPH-161</t>
  </si>
  <si>
    <t>GPH-162</t>
  </si>
  <si>
    <t>GPH-163</t>
  </si>
  <si>
    <t>GPH-167</t>
  </si>
  <si>
    <t>GPH-171</t>
  </si>
  <si>
    <t>GPH-173</t>
  </si>
  <si>
    <t>GPH-174</t>
  </si>
  <si>
    <t>GPH-176</t>
  </si>
  <si>
    <t>GPH-177</t>
  </si>
  <si>
    <t>GPH-179</t>
  </si>
  <si>
    <t>GPH-180</t>
  </si>
  <si>
    <t>GPH-181</t>
  </si>
  <si>
    <t>GPH-183</t>
  </si>
  <si>
    <t>GPH-185</t>
  </si>
  <si>
    <t>GPH-188</t>
  </si>
  <si>
    <t>GPH-189</t>
  </si>
  <si>
    <t>GPH-191</t>
  </si>
  <si>
    <t>GPH-193</t>
  </si>
  <si>
    <t>GPH-198</t>
  </si>
  <si>
    <t>GPH-200</t>
  </si>
  <si>
    <t>GPH-201</t>
  </si>
  <si>
    <t>GPH-202</t>
  </si>
  <si>
    <t>GPH-203</t>
  </si>
  <si>
    <t>GPH-204</t>
  </si>
  <si>
    <t>GPH-205</t>
  </si>
  <si>
    <t>GPH-206</t>
  </si>
  <si>
    <t>GPH-207</t>
  </si>
  <si>
    <t>GPH-212</t>
  </si>
  <si>
    <t>GPH-213</t>
  </si>
  <si>
    <t>GPH-214</t>
  </si>
  <si>
    <t>GPH-216</t>
  </si>
  <si>
    <t>GPH-218</t>
  </si>
  <si>
    <t>GPH-222</t>
  </si>
  <si>
    <t>GPH-223</t>
  </si>
  <si>
    <t>GPH-226</t>
  </si>
  <si>
    <t>GPH-228</t>
  </si>
  <si>
    <t>GPH-230</t>
  </si>
  <si>
    <t>GPH-231</t>
  </si>
  <si>
    <t>GPH-232</t>
  </si>
  <si>
    <t>GPH-233</t>
  </si>
  <si>
    <t>GPH-234</t>
  </si>
  <si>
    <t>GPH-238</t>
  </si>
  <si>
    <t>GPH-239</t>
  </si>
  <si>
    <t>GPH-240</t>
  </si>
  <si>
    <t>GPH-243</t>
  </si>
  <si>
    <t>GPH-246</t>
  </si>
  <si>
    <t>GPH-248</t>
  </si>
  <si>
    <t>GPH-251</t>
  </si>
  <si>
    <t>GPH-253</t>
  </si>
  <si>
    <t>GPH-256</t>
  </si>
  <si>
    <t>GPH-257</t>
  </si>
  <si>
    <t>GPH-259</t>
  </si>
  <si>
    <t>GPH-260</t>
  </si>
  <si>
    <t>GPH-263</t>
  </si>
  <si>
    <t>GPH-266</t>
  </si>
  <si>
    <t>GPH-267</t>
  </si>
  <si>
    <t>GPH-269</t>
  </si>
  <si>
    <t>GPH-270</t>
  </si>
  <si>
    <t>GPH-271</t>
  </si>
  <si>
    <t>GPH-274</t>
  </si>
  <si>
    <t>GPH-276</t>
  </si>
  <si>
    <t>GPH-277</t>
  </si>
  <si>
    <t>GPH-278</t>
  </si>
  <si>
    <t>GPH-280</t>
  </si>
  <si>
    <t>GPH-281</t>
  </si>
  <si>
    <t>GPH-283</t>
  </si>
  <si>
    <t>GPH-284</t>
  </si>
  <si>
    <t>GPH-286</t>
  </si>
  <si>
    <t>GPH-290</t>
  </si>
  <si>
    <t>GPH-293</t>
  </si>
  <si>
    <t>GPH-294</t>
  </si>
  <si>
    <t>GPH-295</t>
  </si>
  <si>
    <t>GPH-301</t>
  </si>
  <si>
    <t>GPH-302</t>
  </si>
  <si>
    <t>GPH-304</t>
  </si>
  <si>
    <t>GPH-305</t>
  </si>
  <si>
    <t>GPH-306</t>
  </si>
  <si>
    <t>GPH-308</t>
  </si>
  <si>
    <t>GPH-309</t>
  </si>
  <si>
    <t>GPH-310</t>
  </si>
  <si>
    <t>GPH-311</t>
  </si>
  <si>
    <t>GPH-312</t>
  </si>
  <si>
    <t>GPH-315</t>
  </si>
  <si>
    <t>GPH-316</t>
  </si>
  <si>
    <t>GPH-317</t>
  </si>
  <si>
    <t>GPH-318</t>
  </si>
  <si>
    <t>GPH-319</t>
  </si>
  <si>
    <t>GPH-322</t>
  </si>
  <si>
    <t>GPH-325</t>
  </si>
  <si>
    <t>GPH-329</t>
  </si>
  <si>
    <t>GPH-332</t>
  </si>
  <si>
    <t>GPH-335</t>
  </si>
  <si>
    <t>GPH-336</t>
  </si>
  <si>
    <t>GPH-337</t>
  </si>
  <si>
    <t>GPH-338</t>
  </si>
  <si>
    <t>GPH-340</t>
  </si>
  <si>
    <t>GPH-341</t>
  </si>
  <si>
    <t>GPH-342</t>
  </si>
  <si>
    <t>GPH-344</t>
  </si>
  <si>
    <t>GPH-345</t>
  </si>
  <si>
    <t>GPH-346</t>
  </si>
  <si>
    <t>GPH-347</t>
  </si>
  <si>
    <t>GPH-349</t>
  </si>
  <si>
    <t>GPH-353</t>
  </si>
  <si>
    <t>GPH-355</t>
  </si>
  <si>
    <t>GPH-356</t>
  </si>
  <si>
    <t>GPH-362</t>
  </si>
  <si>
    <t>GPH-363</t>
  </si>
  <si>
    <t>GPH-364</t>
  </si>
  <si>
    <t>GPH-365</t>
  </si>
  <si>
    <t>GPH-367</t>
  </si>
  <si>
    <t>GPH-368</t>
  </si>
  <si>
    <t>GPH-369</t>
  </si>
  <si>
    <t>GPH-370</t>
  </si>
  <si>
    <t>GPH-371</t>
  </si>
  <si>
    <t>GPH-373</t>
  </si>
  <si>
    <t>GPH-374</t>
  </si>
  <si>
    <t>GPH-375</t>
  </si>
  <si>
    <t>GPH-379</t>
  </si>
  <si>
    <t>GPH-382</t>
  </si>
  <si>
    <t>GPH-383</t>
  </si>
  <si>
    <t>GPH-384</t>
  </si>
  <si>
    <t>GPH-387</t>
  </si>
  <si>
    <t>GPH-389</t>
  </si>
  <si>
    <t>GPH-392</t>
  </si>
  <si>
    <t>GPH-393</t>
  </si>
  <si>
    <t>GPH-394</t>
  </si>
  <si>
    <t>GPH-397</t>
  </si>
  <si>
    <t>GPH-398</t>
  </si>
  <si>
    <t>GPH-399</t>
  </si>
  <si>
    <t>GSH-051</t>
  </si>
  <si>
    <t>GSH-054</t>
  </si>
  <si>
    <t>GSH-056</t>
  </si>
  <si>
    <t>GSH-062</t>
  </si>
  <si>
    <t>GSH-063</t>
  </si>
  <si>
    <t>GSH-065</t>
  </si>
  <si>
    <t>GSH-066</t>
  </si>
  <si>
    <t>GSH-070</t>
  </si>
  <si>
    <t>GSH-071</t>
  </si>
  <si>
    <t>GSH-074</t>
  </si>
  <si>
    <t>GSH-075</t>
  </si>
  <si>
    <t>GSH-078</t>
  </si>
  <si>
    <t>GSH-079</t>
  </si>
  <si>
    <t>GSH-081</t>
  </si>
  <si>
    <t>GSH-082</t>
  </si>
  <si>
    <t>GSH-083</t>
  </si>
  <si>
    <t>GSH-085</t>
  </si>
  <si>
    <t>GSH-088</t>
  </si>
  <si>
    <t>GSH-089</t>
  </si>
  <si>
    <t>GSH-094</t>
  </si>
  <si>
    <t>GSH-097</t>
  </si>
  <si>
    <t>GSH-100</t>
  </si>
  <si>
    <t>GSH-103</t>
  </si>
  <si>
    <t>GSH-105</t>
  </si>
  <si>
    <t>GSH-106</t>
  </si>
  <si>
    <t>GSH-108</t>
  </si>
  <si>
    <t>GSH-111</t>
  </si>
  <si>
    <t>GSH-113</t>
  </si>
  <si>
    <t>GSH-115</t>
  </si>
  <si>
    <t>GSH-116</t>
  </si>
  <si>
    <t>GSH-117</t>
  </si>
  <si>
    <t>GSH-118</t>
  </si>
  <si>
    <t>GSH-119</t>
  </si>
  <si>
    <t>GSH-122</t>
  </si>
  <si>
    <t>GSH-124</t>
  </si>
  <si>
    <t>GSH-125</t>
  </si>
  <si>
    <t>GSH-127</t>
  </si>
  <si>
    <t>GSH-128</t>
  </si>
  <si>
    <t>GSH-129</t>
  </si>
  <si>
    <t>GSH-130</t>
  </si>
  <si>
    <t>GSH-131</t>
  </si>
  <si>
    <t>GSH-134</t>
  </si>
  <si>
    <t>GSH-136</t>
  </si>
  <si>
    <t>GSH-138</t>
  </si>
  <si>
    <t>GSH-139</t>
  </si>
  <si>
    <t>GSH-140</t>
  </si>
  <si>
    <t>GSH-142</t>
  </si>
  <si>
    <t>GSH-144</t>
  </si>
  <si>
    <t>GSH-145</t>
  </si>
  <si>
    <t>GSH-146</t>
  </si>
  <si>
    <t>GSH-147</t>
  </si>
  <si>
    <t>GSH-148</t>
  </si>
  <si>
    <t>GSH-149</t>
  </si>
  <si>
    <t>GSH-151</t>
  </si>
  <si>
    <t>GSH-152</t>
  </si>
  <si>
    <t>GSH-153</t>
  </si>
  <si>
    <t>GSH-155</t>
  </si>
  <si>
    <t>GSH-157</t>
  </si>
  <si>
    <t>GSH-159</t>
  </si>
  <si>
    <t>GSH-160</t>
  </si>
  <si>
    <t>GSH-161</t>
  </si>
  <si>
    <t>GSH-162</t>
  </si>
  <si>
    <t>GSH-163</t>
  </si>
  <si>
    <t>GSH-164</t>
  </si>
  <si>
    <t>GSH-167</t>
  </si>
  <si>
    <t>GSH-170</t>
  </si>
  <si>
    <t>GSH-171</t>
  </si>
  <si>
    <t>GSH-174</t>
  </si>
  <si>
    <t>GSH-175</t>
  </si>
  <si>
    <t>GSH-177</t>
  </si>
  <si>
    <t>GSH-178</t>
  </si>
  <si>
    <t>GSH-180</t>
  </si>
  <si>
    <t>GSH-181</t>
  </si>
  <si>
    <t>GSH-182</t>
  </si>
  <si>
    <t>GSH-183</t>
  </si>
  <si>
    <t>GSH-184</t>
  </si>
  <si>
    <t>GSH-185</t>
  </si>
  <si>
    <t>GSH-186</t>
  </si>
  <si>
    <t>GSH-188</t>
  </si>
  <si>
    <t>GSH-189</t>
  </si>
  <si>
    <t>GSH-190</t>
  </si>
  <si>
    <t>GSH-191</t>
  </si>
  <si>
    <t>GSH-192</t>
  </si>
  <si>
    <t>GSH-193</t>
  </si>
  <si>
    <t>GSH-194</t>
  </si>
  <si>
    <t>GSH-196</t>
  </si>
  <si>
    <t>GSH-197</t>
  </si>
  <si>
    <t>GSH-198</t>
  </si>
  <si>
    <t>GSH-200</t>
  </si>
  <si>
    <t>GSH-201</t>
  </si>
  <si>
    <t>GSH-202</t>
  </si>
  <si>
    <t>GSH-203</t>
  </si>
  <si>
    <t>GSH-205</t>
  </si>
  <si>
    <t>GSH-206</t>
  </si>
  <si>
    <t>GSH-207</t>
  </si>
  <si>
    <t>GSH-208</t>
  </si>
  <si>
    <t>GSH-209</t>
  </si>
  <si>
    <t>GSH-210</t>
  </si>
  <si>
    <t>GSH-212</t>
  </si>
  <si>
    <t>GSH-214</t>
  </si>
  <si>
    <t>GSH-216</t>
  </si>
  <si>
    <t>GSH-218</t>
  </si>
  <si>
    <t>GSH-219</t>
  </si>
  <si>
    <t>GSH-221</t>
  </si>
  <si>
    <t>GSH-222</t>
  </si>
  <si>
    <t>GSH-223</t>
  </si>
  <si>
    <t>GSH-224</t>
  </si>
  <si>
    <t>GSH-225</t>
  </si>
  <si>
    <t>GSH-226</t>
  </si>
  <si>
    <t>GSH-227</t>
  </si>
  <si>
    <t>GSH-229</t>
  </si>
  <si>
    <t>GSH-230</t>
  </si>
  <si>
    <t>GSH-231</t>
  </si>
  <si>
    <t>GSH-232</t>
  </si>
  <si>
    <t>GSH-233</t>
  </si>
  <si>
    <t>GSH-234</t>
  </si>
  <si>
    <t>GSH-235</t>
  </si>
  <si>
    <t>GSH-236</t>
  </si>
  <si>
    <t>GSH-237</t>
  </si>
  <si>
    <t>GSH-238</t>
  </si>
  <si>
    <t>GSH-239</t>
  </si>
  <si>
    <t>GSH-240</t>
  </si>
  <si>
    <t>GSH-241</t>
  </si>
  <si>
    <t>GSH-244</t>
  </si>
  <si>
    <t>GSH-246</t>
  </si>
  <si>
    <t>GSH-247</t>
  </si>
  <si>
    <t>GSH-248</t>
  </si>
  <si>
    <t>GSH-249</t>
  </si>
  <si>
    <t>GSH-250</t>
  </si>
  <si>
    <t>GSH-251</t>
  </si>
  <si>
    <t>GSH-252</t>
  </si>
  <si>
    <t>GSH-253</t>
  </si>
  <si>
    <t>GSH-254</t>
  </si>
  <si>
    <t>GSH-255</t>
  </si>
  <si>
    <t>GSH-256</t>
  </si>
  <si>
    <t>GSH-257</t>
  </si>
  <si>
    <t>GSH-258</t>
  </si>
  <si>
    <t>GSH-261</t>
  </si>
  <si>
    <t>GSH-262</t>
  </si>
  <si>
    <t>GSH-264</t>
  </si>
  <si>
    <t>GSH-265</t>
  </si>
  <si>
    <t>GSH-268</t>
  </si>
  <si>
    <t>GSH-269</t>
  </si>
  <si>
    <t>GSH-271</t>
  </si>
  <si>
    <t>GSH-272</t>
  </si>
  <si>
    <t>GSH-273</t>
  </si>
  <si>
    <t>GSH-274</t>
  </si>
  <si>
    <t>GSH-275</t>
  </si>
  <si>
    <t>GSH-276</t>
  </si>
  <si>
    <t>GSH-277</t>
  </si>
  <si>
    <t>GSH-278</t>
  </si>
  <si>
    <t>GSH-279</t>
  </si>
  <si>
    <t>GSH-280</t>
  </si>
  <si>
    <t>GSH-281</t>
  </si>
  <si>
    <t>KHC-018</t>
  </si>
  <si>
    <t>KHC-074</t>
  </si>
  <si>
    <t>UHC-014</t>
  </si>
  <si>
    <t>UHC-016</t>
  </si>
  <si>
    <t>UHC-017</t>
  </si>
  <si>
    <t>UHC-018</t>
  </si>
  <si>
    <t>UHC-025</t>
  </si>
  <si>
    <t>UHC-026</t>
  </si>
  <si>
    <t>UHC-027</t>
  </si>
  <si>
    <t>UHC-028</t>
  </si>
  <si>
    <t>UHC-029</t>
  </si>
  <si>
    <t>UHC-032</t>
  </si>
  <si>
    <t>UHC-033</t>
  </si>
  <si>
    <t>UHC-034</t>
  </si>
  <si>
    <t>UHC-036</t>
  </si>
  <si>
    <t>UHC-042</t>
  </si>
  <si>
    <t>UHC-044</t>
  </si>
  <si>
    <t>UHC-051</t>
  </si>
  <si>
    <t>UHC-054</t>
  </si>
  <si>
    <t>UHC-055</t>
  </si>
  <si>
    <t>UHC-056</t>
  </si>
  <si>
    <t>UHC-057</t>
  </si>
  <si>
    <t>UHC-058</t>
  </si>
  <si>
    <t>UHC-060</t>
  </si>
  <si>
    <t>UHC-061</t>
  </si>
  <si>
    <t>UHC-063</t>
  </si>
  <si>
    <t>UHC-066</t>
  </si>
  <si>
    <t>UHC-067</t>
  </si>
  <si>
    <t>UHC-069</t>
  </si>
  <si>
    <t>UHC-070</t>
  </si>
  <si>
    <t>UHC-071</t>
  </si>
  <si>
    <t>UHC-073</t>
  </si>
  <si>
    <t>UHC-074</t>
  </si>
  <si>
    <t>UHC-075</t>
  </si>
  <si>
    <t>UHC-077</t>
  </si>
  <si>
    <t>UHC-078</t>
  </si>
  <si>
    <t>UHC-082</t>
  </si>
  <si>
    <t>UHC-085</t>
  </si>
  <si>
    <t>UHC-086</t>
  </si>
  <si>
    <t>UHC-087</t>
  </si>
  <si>
    <t>UHC-088</t>
  </si>
  <si>
    <t>UHC-089</t>
  </si>
  <si>
    <t>UHC-091</t>
  </si>
  <si>
    <t>UHC-099</t>
  </si>
  <si>
    <t>UHC-102</t>
  </si>
  <si>
    <t>UHC-103</t>
  </si>
  <si>
    <t>UHC-104</t>
  </si>
  <si>
    <t>UHC-106</t>
  </si>
  <si>
    <t>UHC-107</t>
  </si>
  <si>
    <t>UHC-108</t>
  </si>
  <si>
    <t>UHC-110</t>
  </si>
  <si>
    <t>UHC-112</t>
  </si>
  <si>
    <t>UHC-113</t>
  </si>
  <si>
    <t>UHC-114</t>
  </si>
  <si>
    <t>UHC-115</t>
  </si>
  <si>
    <t>UHC-116</t>
  </si>
  <si>
    <t>UHC-118</t>
  </si>
  <si>
    <t>UHC-120</t>
  </si>
  <si>
    <t>UHC-123</t>
  </si>
  <si>
    <t>UHC-124</t>
  </si>
  <si>
    <t>UHC-125</t>
  </si>
  <si>
    <t>UHC-127</t>
  </si>
  <si>
    <t>UHC-129</t>
  </si>
  <si>
    <t>UHC-132</t>
  </si>
  <si>
    <t>UHC-133</t>
  </si>
  <si>
    <t>UHC-134</t>
  </si>
  <si>
    <t>UHC-136</t>
  </si>
  <si>
    <t>UHC-137</t>
  </si>
  <si>
    <t>UHC-139</t>
  </si>
  <si>
    <t>UHC-140</t>
  </si>
  <si>
    <t>UHC-141</t>
  </si>
  <si>
    <t>UHC-145</t>
  </si>
  <si>
    <t>UHC-146</t>
  </si>
  <si>
    <t>UHC-149</t>
  </si>
  <si>
    <t>UHC-150</t>
  </si>
  <si>
    <t>UHC-151</t>
  </si>
  <si>
    <t>UHC-153</t>
  </si>
  <si>
    <t>UHC-155</t>
  </si>
  <si>
    <t>UHC-156</t>
  </si>
  <si>
    <t>UHC-157</t>
  </si>
  <si>
    <t>UHC-158</t>
  </si>
  <si>
    <t>UHC-159</t>
  </si>
  <si>
    <t>UHC-161</t>
  </si>
  <si>
    <t>UHC-162</t>
  </si>
  <si>
    <t>UHC-164</t>
  </si>
  <si>
    <t>UHC-168</t>
  </si>
  <si>
    <t>UHC-169</t>
  </si>
  <si>
    <t>UHC-170</t>
  </si>
  <si>
    <t>UHC-171</t>
  </si>
  <si>
    <t>UHC-172</t>
  </si>
  <si>
    <t>UHC-173</t>
  </si>
  <si>
    <t>UHC-174</t>
  </si>
  <si>
    <t>UHC-176</t>
  </si>
  <si>
    <t>UHC-177</t>
  </si>
  <si>
    <t>UHC-178</t>
  </si>
  <si>
    <t>UHC-179</t>
  </si>
  <si>
    <t>UHC-183</t>
  </si>
  <si>
    <t>UHC-184</t>
  </si>
  <si>
    <t>UHC-185</t>
  </si>
  <si>
    <t>UHC-190</t>
  </si>
  <si>
    <t>UHC-191</t>
  </si>
  <si>
    <t>UHC-192</t>
  </si>
  <si>
    <t>UHC-193</t>
  </si>
  <si>
    <t>UHC-194</t>
  </si>
  <si>
    <t>Questionnair Number</t>
  </si>
  <si>
    <t>Multi Gravida</t>
  </si>
  <si>
    <t>Inter</t>
  </si>
  <si>
    <t>Total</t>
  </si>
  <si>
    <t>Summary</t>
  </si>
  <si>
    <t>Prime Gravida</t>
  </si>
  <si>
    <t>SOC</t>
  </si>
  <si>
    <t>LAMP</t>
  </si>
  <si>
    <t>Total Anemic</t>
  </si>
  <si>
    <t>Percentage Anemic</t>
  </si>
  <si>
    <t>Mean</t>
  </si>
  <si>
    <t>SD</t>
  </si>
  <si>
    <t xml:space="preserve"> Inter</t>
  </si>
  <si>
    <t xml:space="preserve">      Over All With Arm</t>
  </si>
  <si>
    <t>OVER All With Out Arm</t>
  </si>
  <si>
    <t>STDV</t>
  </si>
  <si>
    <t>Z-Score</t>
  </si>
  <si>
    <t>Variance</t>
  </si>
  <si>
    <t>ML - MS &gt; 0</t>
  </si>
  <si>
    <t>ML - MS &lt; 0</t>
  </si>
  <si>
    <t>ML-MS !=0</t>
  </si>
  <si>
    <t>Alpa = 0.025</t>
  </si>
  <si>
    <t>ML&gt;MS</t>
  </si>
  <si>
    <t>ML&lt;MS</t>
  </si>
  <si>
    <t>ML= MS</t>
  </si>
  <si>
    <t>S.S</t>
  </si>
  <si>
    <t>M1-M2</t>
  </si>
  <si>
    <t>S.error</t>
  </si>
  <si>
    <t>sqr(v1/n1 +v2/n2)</t>
  </si>
  <si>
    <t>T.S</t>
  </si>
  <si>
    <t>(S.S - 0)/S.error</t>
  </si>
  <si>
    <t>dff</t>
  </si>
  <si>
    <t>one less than the smaller sample size</t>
  </si>
  <si>
    <t>p-value</t>
  </si>
  <si>
    <t>( T.S, Dff)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</si>
</sst>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2" fontId="16" fillId="0" borderId="0" xfId="0" applyNumberFormat="1" applyFont="1"/>
    <xf numFmtId="2" fontId="18" fillId="0" borderId="0" xfId="0" applyNumberFormat="1" applyFont="1"/>
    <xf numFmtId="0" fontId="0" fillId="0" borderId="0" xfId="0" applyAlignment="1">
      <alignment horizontal="center"/>
    </xf>
    <xf numFmtId="0" fontId="19" fillId="0" borderId="0" xfId="0" applyFont="1"/>
    <xf numFmtId="2" fontId="16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2" fontId="19" fillId="0" borderId="0" xfId="0" applyNumberFormat="1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6"/>
  <sheetViews>
    <sheetView tabSelected="1" topLeftCell="C20" workbookViewId="0">
      <selection activeCell="J30" sqref="J30:K34"/>
    </sheetView>
  </sheetViews>
  <sheetFormatPr defaultRowHeight="14.4" x14ac:dyDescent="0.3"/>
  <cols>
    <col min="1" max="1" width="21.88671875" customWidth="1"/>
    <col min="2" max="2" width="28.6640625" customWidth="1"/>
    <col min="3" max="3" width="10.33203125" customWidth="1"/>
    <col min="4" max="4" width="11.77734375" bestFit="1" customWidth="1"/>
    <col min="5" max="5" width="11.21875" customWidth="1"/>
    <col min="6" max="6" width="22.88671875" style="8" customWidth="1"/>
    <col min="7" max="7" width="28.44140625" customWidth="1"/>
    <col min="8" max="8" width="12.77734375" customWidth="1"/>
    <col min="9" max="10" width="11.77734375" bestFit="1" customWidth="1"/>
    <col min="11" max="11" width="13.6640625" customWidth="1"/>
    <col min="12" max="12" width="12.44140625" bestFit="1" customWidth="1"/>
  </cols>
  <sheetData>
    <row r="1" spans="1:13" ht="15.6" x14ac:dyDescent="0.3">
      <c r="A1" s="2" t="s">
        <v>636</v>
      </c>
      <c r="B1" s="2" t="s">
        <v>0</v>
      </c>
      <c r="C1" s="2" t="s">
        <v>1</v>
      </c>
      <c r="D1" s="2" t="s">
        <v>2</v>
      </c>
      <c r="E1" s="4" t="s">
        <v>652</v>
      </c>
    </row>
    <row r="2" spans="1:13" ht="21" x14ac:dyDescent="0.4">
      <c r="A2" t="s">
        <v>3</v>
      </c>
      <c r="B2" t="s">
        <v>643</v>
      </c>
      <c r="C2">
        <v>12.3</v>
      </c>
      <c r="D2">
        <v>1</v>
      </c>
      <c r="E2" s="10">
        <f>STANDARDIZE(C2, AVERAGE($C$2:$C$242), _xlfn.STDEV.S($C$2:$C$242))</f>
        <v>0.60638382516527733</v>
      </c>
      <c r="G2" s="5" t="s">
        <v>640</v>
      </c>
      <c r="I2" s="2" t="s">
        <v>654</v>
      </c>
      <c r="J2" s="2" t="s">
        <v>655</v>
      </c>
      <c r="K2" s="2" t="s">
        <v>656</v>
      </c>
      <c r="L2" s="2" t="s">
        <v>657</v>
      </c>
    </row>
    <row r="3" spans="1:13" x14ac:dyDescent="0.3">
      <c r="A3" t="s">
        <v>4</v>
      </c>
      <c r="B3" t="s">
        <v>642</v>
      </c>
      <c r="C3">
        <v>11.4</v>
      </c>
      <c r="D3">
        <v>2</v>
      </c>
      <c r="E3" s="10">
        <f t="shared" ref="E3:E66" si="0">STANDARDIZE(C3, AVERAGE($C$2:$C$242), _xlfn.STDEV.S($C$2:$C$242))</f>
        <v>-7.4053267651262786E-2</v>
      </c>
      <c r="I3" t="s">
        <v>658</v>
      </c>
      <c r="J3" t="s">
        <v>659</v>
      </c>
      <c r="K3" t="s">
        <v>660</v>
      </c>
    </row>
    <row r="4" spans="1:13" ht="18" x14ac:dyDescent="0.35">
      <c r="A4" t="s">
        <v>5</v>
      </c>
      <c r="B4" t="s">
        <v>643</v>
      </c>
      <c r="C4">
        <v>12</v>
      </c>
      <c r="D4">
        <v>1</v>
      </c>
      <c r="E4" s="10">
        <f t="shared" si="0"/>
        <v>0.37957146089309685</v>
      </c>
      <c r="G4" s="3" t="s">
        <v>641</v>
      </c>
    </row>
    <row r="5" spans="1:13" ht="15.6" x14ac:dyDescent="0.3">
      <c r="A5" t="s">
        <v>6</v>
      </c>
      <c r="B5" t="s">
        <v>643</v>
      </c>
      <c r="C5">
        <v>10.4</v>
      </c>
      <c r="D5">
        <v>1</v>
      </c>
      <c r="E5" s="10">
        <f t="shared" si="0"/>
        <v>-0.83009448189186263</v>
      </c>
      <c r="G5" s="4" t="s">
        <v>642</v>
      </c>
      <c r="H5" s="4" t="s">
        <v>638</v>
      </c>
      <c r="J5" s="1" t="s">
        <v>661</v>
      </c>
      <c r="K5" s="6">
        <f>H9-G9</f>
        <v>-0.19288499025341466</v>
      </c>
      <c r="L5" s="1"/>
      <c r="M5" s="1" t="s">
        <v>662</v>
      </c>
    </row>
    <row r="6" spans="1:13" ht="15.6" x14ac:dyDescent="0.3">
      <c r="A6" t="s">
        <v>7</v>
      </c>
      <c r="B6" t="s">
        <v>642</v>
      </c>
      <c r="C6">
        <v>13.5</v>
      </c>
      <c r="D6">
        <v>1</v>
      </c>
      <c r="E6" s="10">
        <f t="shared" si="0"/>
        <v>1.5136332822539966</v>
      </c>
      <c r="F6" s="4" t="s">
        <v>639</v>
      </c>
      <c r="G6" s="1">
        <f>COUNTIFS(B2:B245, "SOC", D2:D245, "=1")</f>
        <v>19</v>
      </c>
      <c r="H6" s="1">
        <f>COUNTIFS(B2:B245,"LAMP", D2:D245,"=1")</f>
        <v>54</v>
      </c>
      <c r="J6" s="1" t="s">
        <v>663</v>
      </c>
      <c r="K6" s="1">
        <f>SQRT(G11/G6+H11/H6)</f>
        <v>0.39712575779788589</v>
      </c>
      <c r="L6" s="1"/>
      <c r="M6" s="1" t="s">
        <v>664</v>
      </c>
    </row>
    <row r="7" spans="1:13" ht="15.6" x14ac:dyDescent="0.3">
      <c r="A7" t="s">
        <v>8</v>
      </c>
      <c r="B7" t="s">
        <v>643</v>
      </c>
      <c r="C7">
        <v>11.4</v>
      </c>
      <c r="D7">
        <v>3</v>
      </c>
      <c r="E7" s="10">
        <f t="shared" si="0"/>
        <v>-7.4053267651262786E-2</v>
      </c>
      <c r="F7" s="4" t="s">
        <v>644</v>
      </c>
      <c r="G7" s="1">
        <f>COUNTIFS(B2:B245, "SOC", D2:D245, "=1", C2:C245, "&lt;11")</f>
        <v>7</v>
      </c>
      <c r="H7" s="1">
        <f>COUNTIFS(B2:B245, "LAMP", D2:D245, "=1", C2:C245, "&lt;11")</f>
        <v>21</v>
      </c>
      <c r="J7" s="1" t="s">
        <v>665</v>
      </c>
      <c r="K7" s="1">
        <f>(K5-0)/K6</f>
        <v>-0.48570254249683292</v>
      </c>
      <c r="L7" s="1"/>
      <c r="M7" s="1" t="s">
        <v>666</v>
      </c>
    </row>
    <row r="8" spans="1:13" ht="15.6" x14ac:dyDescent="0.3">
      <c r="A8" t="s">
        <v>9</v>
      </c>
      <c r="B8" t="s">
        <v>643</v>
      </c>
      <c r="C8">
        <v>13.2</v>
      </c>
      <c r="D8">
        <v>3</v>
      </c>
      <c r="E8" s="10">
        <f t="shared" si="0"/>
        <v>1.2868209179818162</v>
      </c>
      <c r="F8" s="4" t="s">
        <v>645</v>
      </c>
      <c r="G8" s="6">
        <f>G7/G6*100</f>
        <v>36.84210526315789</v>
      </c>
      <c r="H8" s="6">
        <f>H7/G6*100</f>
        <v>110.5263157894737</v>
      </c>
      <c r="J8" s="1" t="s">
        <v>667</v>
      </c>
      <c r="K8" s="1">
        <f>G6-1</f>
        <v>18</v>
      </c>
      <c r="L8" s="1"/>
      <c r="M8" s="1" t="s">
        <v>668</v>
      </c>
    </row>
    <row r="9" spans="1:13" ht="15.6" x14ac:dyDescent="0.3">
      <c r="A9" t="s">
        <v>10</v>
      </c>
      <c r="B9" t="s">
        <v>642</v>
      </c>
      <c r="C9">
        <v>11.7</v>
      </c>
      <c r="D9">
        <v>4</v>
      </c>
      <c r="E9" s="10">
        <f t="shared" si="0"/>
        <v>0.15275909662091636</v>
      </c>
      <c r="F9" s="4" t="s">
        <v>646</v>
      </c>
      <c r="G9" s="6">
        <f>AVERAGEIFS(C2:C245, B2:B245,"SOC", D2:D245, "=1")</f>
        <v>11.394736842105265</v>
      </c>
      <c r="H9" s="6">
        <f>AVERAGEIFS(C2:C245, B2:B245,"LAMP", D2:D245, "=1")</f>
        <v>11.201851851851851</v>
      </c>
      <c r="J9" s="1" t="s">
        <v>669</v>
      </c>
      <c r="K9" s="1">
        <f>_xlfn.T.DIST(K7,K8,TRUE)</f>
        <v>0.31651883434967099</v>
      </c>
      <c r="L9" s="1"/>
      <c r="M9" s="1" t="s">
        <v>670</v>
      </c>
    </row>
    <row r="10" spans="1:13" ht="15.6" x14ac:dyDescent="0.3">
      <c r="A10" t="s">
        <v>11</v>
      </c>
      <c r="B10" t="s">
        <v>643</v>
      </c>
      <c r="C10">
        <v>12.3</v>
      </c>
      <c r="D10">
        <v>2</v>
      </c>
      <c r="E10" s="10">
        <f t="shared" si="0"/>
        <v>0.60638382516527733</v>
      </c>
      <c r="F10" s="4" t="s">
        <v>647</v>
      </c>
      <c r="G10" s="6">
        <f t="array" ref="G10">_xlfn.STDEV.S(IF(IF($B$2:B$245="SOC",$C$2:$C$245),IF($D$2:$D$245=1,$C$2:$C$245)))</f>
        <v>1.5550897381074935</v>
      </c>
      <c r="H10" s="6">
        <f t="array" ref="H10">_xlfn.STDEV.S(IF(IF($B$2:B$245="LAMP",$C$2:$C$245),IF($D$2:$D$245=1,$C$2:$C$245)))</f>
        <v>1.2818752096478514</v>
      </c>
    </row>
    <row r="11" spans="1:13" ht="18" x14ac:dyDescent="0.35">
      <c r="A11" t="s">
        <v>12</v>
      </c>
      <c r="B11" t="s">
        <v>642</v>
      </c>
      <c r="C11">
        <v>10.7</v>
      </c>
      <c r="D11">
        <v>1</v>
      </c>
      <c r="E11" s="10">
        <f t="shared" si="0"/>
        <v>-0.60328211761968353</v>
      </c>
      <c r="F11" s="3" t="s">
        <v>653</v>
      </c>
      <c r="G11" s="7">
        <f t="array" ref="G11">_xlfn.VAR.S((IF(IF($B$2:B$245="SOC",$C$2:$C$245),IF($D$2:$D$245=1,$C$2:$C$245))))</f>
        <v>2.4183040935672326</v>
      </c>
      <c r="H11" s="7">
        <f t="array" ref="H11">_xlfn.VAR.S((IF(IF($B$2:B$245="LAMP",$C$2:$C$245),IF($D$2:$D$245=1,$C$2:$C$245))))</f>
        <v>1.6432040531097232</v>
      </c>
    </row>
    <row r="12" spans="1:13" x14ac:dyDescent="0.3">
      <c r="A12" t="s">
        <v>13</v>
      </c>
      <c r="B12" t="s">
        <v>643</v>
      </c>
      <c r="C12">
        <v>10.4</v>
      </c>
      <c r="D12">
        <v>3</v>
      </c>
      <c r="E12" s="10">
        <f t="shared" si="0"/>
        <v>-0.83009448189186263</v>
      </c>
    </row>
    <row r="13" spans="1:13" x14ac:dyDescent="0.3">
      <c r="A13" t="s">
        <v>14</v>
      </c>
      <c r="B13" t="s">
        <v>642</v>
      </c>
      <c r="C13">
        <v>11.4</v>
      </c>
      <c r="D13">
        <v>1</v>
      </c>
      <c r="E13" s="10">
        <f t="shared" si="0"/>
        <v>-7.4053267651262786E-2</v>
      </c>
    </row>
    <row r="14" spans="1:13" ht="18" x14ac:dyDescent="0.35">
      <c r="A14" t="s">
        <v>15</v>
      </c>
      <c r="B14" t="s">
        <v>642</v>
      </c>
      <c r="C14">
        <v>12.3</v>
      </c>
      <c r="D14">
        <v>2</v>
      </c>
      <c r="E14" s="10">
        <f t="shared" si="0"/>
        <v>0.60638382516527733</v>
      </c>
      <c r="G14" s="3" t="s">
        <v>637</v>
      </c>
    </row>
    <row r="15" spans="1:13" ht="15.6" x14ac:dyDescent="0.3">
      <c r="A15" t="s">
        <v>16</v>
      </c>
      <c r="B15" t="s">
        <v>642</v>
      </c>
      <c r="C15">
        <v>11.1</v>
      </c>
      <c r="D15">
        <v>2</v>
      </c>
      <c r="E15" s="10">
        <f t="shared" si="0"/>
        <v>-0.30086563192344329</v>
      </c>
      <c r="G15" s="4" t="s">
        <v>642</v>
      </c>
      <c r="H15" s="4" t="s">
        <v>638</v>
      </c>
    </row>
    <row r="16" spans="1:13" ht="15.6" x14ac:dyDescent="0.3">
      <c r="A16" t="s">
        <v>17</v>
      </c>
      <c r="B16" t="s">
        <v>643</v>
      </c>
      <c r="C16">
        <v>12.3</v>
      </c>
      <c r="D16">
        <v>1</v>
      </c>
      <c r="E16" s="10">
        <f t="shared" si="0"/>
        <v>0.60638382516527733</v>
      </c>
      <c r="F16" s="4" t="s">
        <v>639</v>
      </c>
      <c r="G16" s="1">
        <f>COUNTIFS(B12:B255, "SOC", D12:D255, "&gt;=2")</f>
        <v>31</v>
      </c>
      <c r="H16" s="1">
        <f>COUNTIFS(B12:B255,"LAMP", D12:D255,"&gt;=2")</f>
        <v>86</v>
      </c>
      <c r="J16" s="1" t="s">
        <v>661</v>
      </c>
      <c r="K16" s="6">
        <f>H19-G19</f>
        <v>6.5951651344906992E-2</v>
      </c>
    </row>
    <row r="17" spans="1:11" ht="15.6" x14ac:dyDescent="0.3">
      <c r="A17" t="s">
        <v>18</v>
      </c>
      <c r="B17" t="s">
        <v>643</v>
      </c>
      <c r="C17">
        <v>12.2</v>
      </c>
      <c r="D17">
        <v>1</v>
      </c>
      <c r="E17" s="10">
        <f t="shared" si="0"/>
        <v>0.5307797037412163</v>
      </c>
      <c r="F17" s="4" t="s">
        <v>644</v>
      </c>
      <c r="G17" s="1">
        <f>COUNTIFS(B12:B255, "SOC", D12:D255, "&gt;=2", C12:C255, "&lt;11")</f>
        <v>9</v>
      </c>
      <c r="H17" s="1">
        <f>COUNTIFS(B2:B255, "LAMP", D2:D255, "&gt;=2", C2:C255, "&lt;11")</f>
        <v>28</v>
      </c>
      <c r="J17" s="1" t="s">
        <v>663</v>
      </c>
      <c r="K17" s="1">
        <f>SQRT(G21/G16+H21/H16)</f>
        <v>0.29089451973611397</v>
      </c>
    </row>
    <row r="18" spans="1:11" ht="15.6" x14ac:dyDescent="0.3">
      <c r="A18" t="s">
        <v>19</v>
      </c>
      <c r="B18" t="s">
        <v>642</v>
      </c>
      <c r="C18">
        <v>13</v>
      </c>
      <c r="D18">
        <v>2</v>
      </c>
      <c r="E18" s="10">
        <f t="shared" si="0"/>
        <v>1.1356126751336968</v>
      </c>
      <c r="F18" s="4" t="s">
        <v>645</v>
      </c>
      <c r="G18" s="6">
        <f>G17/G16*100</f>
        <v>29.032258064516132</v>
      </c>
      <c r="H18" s="6">
        <f>H17/G16*100</f>
        <v>90.322580645161281</v>
      </c>
      <c r="J18" s="1" t="s">
        <v>665</v>
      </c>
      <c r="K18" s="1">
        <f>(K16-0)/K17</f>
        <v>0.22672015754966879</v>
      </c>
    </row>
    <row r="19" spans="1:11" ht="15.6" x14ac:dyDescent="0.3">
      <c r="A19" t="s">
        <v>20</v>
      </c>
      <c r="B19" t="s">
        <v>643</v>
      </c>
      <c r="C19">
        <v>13.5</v>
      </c>
      <c r="D19">
        <v>2</v>
      </c>
      <c r="E19" s="10">
        <f t="shared" si="0"/>
        <v>1.5136332822539966</v>
      </c>
      <c r="F19" s="4" t="s">
        <v>646</v>
      </c>
      <c r="G19" s="6">
        <f>AVERAGEIFS(C2:C255, B2:B255,"SOC", D2:D255, "&gt;=2")</f>
        <v>11.596969696969694</v>
      </c>
      <c r="H19" s="6">
        <f>AVERAGEIFS(C2:C255, B2:B255,"LAMP", D2:D255, "&gt;=2")</f>
        <v>11.662921348314601</v>
      </c>
      <c r="J19" s="1" t="s">
        <v>667</v>
      </c>
      <c r="K19" s="1">
        <f>G16-1</f>
        <v>30</v>
      </c>
    </row>
    <row r="20" spans="1:11" ht="15.6" x14ac:dyDescent="0.3">
      <c r="A20" t="s">
        <v>21</v>
      </c>
      <c r="B20" t="s">
        <v>643</v>
      </c>
      <c r="C20">
        <v>12.2</v>
      </c>
      <c r="D20">
        <v>1</v>
      </c>
      <c r="E20" s="10">
        <f t="shared" si="0"/>
        <v>0.5307797037412163</v>
      </c>
      <c r="F20" s="4" t="s">
        <v>647</v>
      </c>
      <c r="G20" s="6">
        <f t="array" ref="G20">_xlfn.STDEV.S(IF(IF($B$2:B$245="SOC",$C$2:$C$245),IF($D$2:$D$245&gt;=2,$C$2:$C$245)))</f>
        <v>1.439071933679156</v>
      </c>
      <c r="H20" s="6">
        <f t="array" ref="H20">_xlfn.STDEV.S(IF(IF($B$2:B$245="LAMP",$C$2:$C$245),IF($D$2:$D$245&gt;=2,$C$2:$C$245)))</f>
        <v>1.2377933098197846</v>
      </c>
      <c r="J20" s="1" t="s">
        <v>669</v>
      </c>
      <c r="K20" s="1">
        <f>_xlfn.T.DIST(K18,K19,TRUE)</f>
        <v>0.58891042202362076</v>
      </c>
    </row>
    <row r="21" spans="1:11" ht="15.6" x14ac:dyDescent="0.3">
      <c r="A21" t="s">
        <v>22</v>
      </c>
      <c r="B21" t="s">
        <v>643</v>
      </c>
      <c r="C21">
        <v>12</v>
      </c>
      <c r="D21">
        <v>2</v>
      </c>
      <c r="E21" s="10">
        <f t="shared" si="0"/>
        <v>0.37957146089309685</v>
      </c>
      <c r="F21" s="4" t="s">
        <v>653</v>
      </c>
      <c r="G21" s="7">
        <f t="array" ref="G21">_xlfn.VAR.S((IF(IF($B$2:B$245="SOC",$C$2:$C$245),IF($D$2:$D$245&gt;=2,$C$2:$C$245))))</f>
        <v>2.0709280303030653</v>
      </c>
      <c r="H21" s="7">
        <f t="array" ref="H21">_xlfn.VAR.S((IF(IF($B$2:B$400="LAMP",$C$2:$C$400),IF($D$2:$D$400&gt;=2,$C$2:$C$400))))</f>
        <v>1.5321322778346174</v>
      </c>
    </row>
    <row r="22" spans="1:11" x14ac:dyDescent="0.3">
      <c r="A22" t="s">
        <v>23</v>
      </c>
      <c r="B22" t="s">
        <v>642</v>
      </c>
      <c r="C22">
        <v>10.9</v>
      </c>
      <c r="D22">
        <v>1</v>
      </c>
      <c r="E22" s="10">
        <f t="shared" si="0"/>
        <v>-0.45207387477156274</v>
      </c>
    </row>
    <row r="23" spans="1:11" x14ac:dyDescent="0.3">
      <c r="A23" t="s">
        <v>24</v>
      </c>
      <c r="B23" t="s">
        <v>643</v>
      </c>
      <c r="C23">
        <v>12.7</v>
      </c>
      <c r="D23">
        <v>1</v>
      </c>
      <c r="E23" s="10">
        <f t="shared" si="0"/>
        <v>0.90880031086151625</v>
      </c>
    </row>
    <row r="24" spans="1:11" x14ac:dyDescent="0.3">
      <c r="A24" t="s">
        <v>25</v>
      </c>
      <c r="B24" t="s">
        <v>643</v>
      </c>
      <c r="C24">
        <v>12.6</v>
      </c>
      <c r="D24">
        <v>5</v>
      </c>
      <c r="E24" s="10">
        <f t="shared" si="0"/>
        <v>0.83319618943745655</v>
      </c>
    </row>
    <row r="25" spans="1:11" x14ac:dyDescent="0.3">
      <c r="A25" t="s">
        <v>26</v>
      </c>
      <c r="B25" t="s">
        <v>642</v>
      </c>
      <c r="C25">
        <v>12.5</v>
      </c>
      <c r="D25">
        <v>1</v>
      </c>
      <c r="E25" s="10">
        <f t="shared" si="0"/>
        <v>0.75759206801339674</v>
      </c>
    </row>
    <row r="26" spans="1:11" x14ac:dyDescent="0.3">
      <c r="A26" t="s">
        <v>27</v>
      </c>
      <c r="B26" t="s">
        <v>643</v>
      </c>
      <c r="C26">
        <v>13.8</v>
      </c>
      <c r="D26">
        <v>2</v>
      </c>
      <c r="E26" s="10">
        <f t="shared" si="0"/>
        <v>1.7404456465261771</v>
      </c>
    </row>
    <row r="27" spans="1:11" ht="15.6" x14ac:dyDescent="0.3">
      <c r="A27" t="s">
        <v>28</v>
      </c>
      <c r="B27" t="s">
        <v>642</v>
      </c>
      <c r="C27">
        <v>11.7</v>
      </c>
      <c r="D27">
        <v>3</v>
      </c>
      <c r="E27" s="10">
        <f t="shared" si="0"/>
        <v>0.15275909662091636</v>
      </c>
      <c r="G27" s="2" t="s">
        <v>649</v>
      </c>
    </row>
    <row r="28" spans="1:11" x14ac:dyDescent="0.3">
      <c r="A28" t="s">
        <v>29</v>
      </c>
      <c r="B28" t="s">
        <v>643</v>
      </c>
      <c r="C28">
        <v>10.3</v>
      </c>
      <c r="D28">
        <v>1</v>
      </c>
      <c r="E28" s="10">
        <f t="shared" si="0"/>
        <v>-0.90569860331592233</v>
      </c>
    </row>
    <row r="29" spans="1:11" ht="15.6" x14ac:dyDescent="0.3">
      <c r="A29" t="s">
        <v>30</v>
      </c>
      <c r="B29" t="s">
        <v>643</v>
      </c>
      <c r="C29">
        <v>11.7</v>
      </c>
      <c r="D29">
        <v>1</v>
      </c>
      <c r="E29" s="10">
        <f t="shared" si="0"/>
        <v>0.15275909662091636</v>
      </c>
      <c r="G29" s="4" t="s">
        <v>642</v>
      </c>
      <c r="H29" s="4" t="s">
        <v>648</v>
      </c>
    </row>
    <row r="30" spans="1:11" ht="15.6" x14ac:dyDescent="0.3">
      <c r="A30" t="s">
        <v>31</v>
      </c>
      <c r="B30" t="s">
        <v>642</v>
      </c>
      <c r="C30">
        <v>12.3</v>
      </c>
      <c r="D30">
        <v>1</v>
      </c>
      <c r="E30" s="10">
        <f t="shared" si="0"/>
        <v>0.60638382516527733</v>
      </c>
      <c r="F30" s="4" t="s">
        <v>639</v>
      </c>
      <c r="G30" s="2">
        <f>COUNTIFS(B2:B245,"SOC")</f>
        <v>52</v>
      </c>
      <c r="H30" s="2">
        <f>COUNTIFS(B2:B245,"LAMP")</f>
        <v>143</v>
      </c>
      <c r="J30" s="1" t="s">
        <v>661</v>
      </c>
      <c r="K30" s="6">
        <f>H33-G33</f>
        <v>-2.8573600973235358E-2</v>
      </c>
    </row>
    <row r="31" spans="1:11" ht="15.6" x14ac:dyDescent="0.3">
      <c r="A31" t="s">
        <v>32</v>
      </c>
      <c r="B31" t="s">
        <v>643</v>
      </c>
      <c r="C31">
        <v>13</v>
      </c>
      <c r="D31">
        <v>1</v>
      </c>
      <c r="E31" s="10">
        <f t="shared" si="0"/>
        <v>1.1356126751336968</v>
      </c>
      <c r="F31" s="4" t="s">
        <v>644</v>
      </c>
      <c r="G31" s="2">
        <f>COUNTIFS(B12:B255, "SOC", C12:C255, "&lt;11")</f>
        <v>15</v>
      </c>
      <c r="H31" s="2">
        <f>COUNTIFS(B12:B255, "LAMP", C12:C255, "&lt;11")</f>
        <v>48</v>
      </c>
      <c r="J31" s="1" t="s">
        <v>663</v>
      </c>
      <c r="K31" s="1">
        <f>SQRT(G35/G30+H35/H30)</f>
        <v>0.22993230386870186</v>
      </c>
    </row>
    <row r="32" spans="1:11" ht="15.6" x14ac:dyDescent="0.3">
      <c r="A32" t="s">
        <v>33</v>
      </c>
      <c r="B32" t="s">
        <v>643</v>
      </c>
      <c r="C32">
        <v>11.9</v>
      </c>
      <c r="D32">
        <v>3</v>
      </c>
      <c r="E32" s="10">
        <f t="shared" si="0"/>
        <v>0.30396733946903715</v>
      </c>
      <c r="F32" s="4" t="s">
        <v>645</v>
      </c>
      <c r="G32" s="7">
        <f>G31/G30*100</f>
        <v>28.846153846153843</v>
      </c>
      <c r="H32" s="7">
        <f>H31/H30*100</f>
        <v>33.566433566433567</v>
      </c>
      <c r="J32" s="1" t="s">
        <v>665</v>
      </c>
      <c r="K32" s="1">
        <f>(K30-0)/K31</f>
        <v>-0.12426962411315519</v>
      </c>
    </row>
    <row r="33" spans="1:11" ht="15.6" x14ac:dyDescent="0.3">
      <c r="A33" t="s">
        <v>34</v>
      </c>
      <c r="B33" t="s">
        <v>643</v>
      </c>
      <c r="C33">
        <v>13</v>
      </c>
      <c r="D33">
        <v>5</v>
      </c>
      <c r="E33" s="10">
        <f t="shared" si="0"/>
        <v>1.1356126751336968</v>
      </c>
      <c r="F33" s="4" t="s">
        <v>646</v>
      </c>
      <c r="G33" s="7">
        <f>AVERAGEIFS(C12:C255, B12:B255,"SOC")</f>
        <v>11.497916666666663</v>
      </c>
      <c r="H33" s="7">
        <f>AVERAGEIFS(C12:C255, B12:B255,"LAMP")</f>
        <v>11.469343065693428</v>
      </c>
      <c r="J33" s="1" t="s">
        <v>667</v>
      </c>
      <c r="K33" s="1">
        <f>G30-1</f>
        <v>51</v>
      </c>
    </row>
    <row r="34" spans="1:11" ht="15.6" x14ac:dyDescent="0.3">
      <c r="A34" t="s">
        <v>35</v>
      </c>
      <c r="B34" t="s">
        <v>643</v>
      </c>
      <c r="C34">
        <v>10.3</v>
      </c>
      <c r="D34">
        <v>1</v>
      </c>
      <c r="E34" s="10">
        <f t="shared" si="0"/>
        <v>-0.90569860331592233</v>
      </c>
      <c r="F34" s="4" t="s">
        <v>647</v>
      </c>
      <c r="G34" s="7">
        <f t="array" ref="G34">_xlfn.STDEV.S(IF($B$2:B$245="SOC",$C$2:$C$245))</f>
        <v>1.4705761688796328</v>
      </c>
      <c r="H34" s="7">
        <f t="array" ref="H34">_xlfn.STDEV.S(IF($B$2:B$245="LAMP",$C$2:$C$245))</f>
        <v>1.2700839993905333</v>
      </c>
      <c r="J34" s="1" t="s">
        <v>669</v>
      </c>
      <c r="K34" s="1">
        <f>_xlfn.T.DIST(K32,K33,TRUE)</f>
        <v>0.45079515404416942</v>
      </c>
    </row>
    <row r="35" spans="1:11" ht="18" x14ac:dyDescent="0.35">
      <c r="A35" t="s">
        <v>36</v>
      </c>
      <c r="B35" t="s">
        <v>642</v>
      </c>
      <c r="C35">
        <v>12.3</v>
      </c>
      <c r="D35">
        <v>2</v>
      </c>
      <c r="E35" s="10">
        <f t="shared" si="0"/>
        <v>0.60638382516527733</v>
      </c>
      <c r="F35" s="3" t="s">
        <v>653</v>
      </c>
      <c r="G35" s="7">
        <f t="array" ref="G35">_xlfn.VAR.S(IF($B$2:B$400="SOC",$C$2:$C$400))</f>
        <v>2.1625942684766986</v>
      </c>
      <c r="H35" s="7">
        <f t="array" ref="H35">_xlfn.VAR.S(IF($B$2:B$400="LAMP",$C$2:$C$400))</f>
        <v>1.6131133655078524</v>
      </c>
    </row>
    <row r="36" spans="1:11" x14ac:dyDescent="0.3">
      <c r="A36" t="s">
        <v>37</v>
      </c>
      <c r="B36" t="s">
        <v>643</v>
      </c>
      <c r="C36">
        <v>12.9</v>
      </c>
      <c r="D36">
        <v>1</v>
      </c>
      <c r="E36" s="10">
        <f t="shared" si="0"/>
        <v>1.0600085537096371</v>
      </c>
    </row>
    <row r="37" spans="1:11" x14ac:dyDescent="0.3">
      <c r="A37" t="s">
        <v>38</v>
      </c>
      <c r="B37" t="s">
        <v>642</v>
      </c>
      <c r="C37">
        <v>11.9</v>
      </c>
      <c r="D37">
        <v>2</v>
      </c>
      <c r="E37" s="10">
        <f t="shared" si="0"/>
        <v>0.30396733946903715</v>
      </c>
    </row>
    <row r="38" spans="1:11" x14ac:dyDescent="0.3">
      <c r="A38" t="s">
        <v>39</v>
      </c>
      <c r="B38" t="s">
        <v>642</v>
      </c>
      <c r="C38">
        <v>11.9</v>
      </c>
      <c r="D38">
        <v>1</v>
      </c>
      <c r="E38" s="10">
        <f t="shared" si="0"/>
        <v>0.30396733946903715</v>
      </c>
    </row>
    <row r="39" spans="1:11" x14ac:dyDescent="0.3">
      <c r="A39" t="s">
        <v>40</v>
      </c>
      <c r="B39" t="s">
        <v>642</v>
      </c>
      <c r="C39">
        <v>11.9</v>
      </c>
      <c r="D39">
        <v>2</v>
      </c>
      <c r="E39" s="10">
        <f t="shared" si="0"/>
        <v>0.30396733946903715</v>
      </c>
    </row>
    <row r="40" spans="1:11" ht="18" x14ac:dyDescent="0.35">
      <c r="A40" t="s">
        <v>41</v>
      </c>
      <c r="B40" t="s">
        <v>642</v>
      </c>
      <c r="C40">
        <v>10.8</v>
      </c>
      <c r="D40">
        <v>1</v>
      </c>
      <c r="E40" s="10">
        <f t="shared" si="0"/>
        <v>-0.52767799619562239</v>
      </c>
      <c r="G40" s="3" t="s">
        <v>650</v>
      </c>
    </row>
    <row r="41" spans="1:11" x14ac:dyDescent="0.3">
      <c r="A41" t="s">
        <v>42</v>
      </c>
      <c r="B41" t="s">
        <v>642</v>
      </c>
      <c r="C41">
        <v>11.5</v>
      </c>
      <c r="D41">
        <v>1</v>
      </c>
      <c r="E41" s="10">
        <f t="shared" si="0"/>
        <v>1.5508537727969274E-3</v>
      </c>
    </row>
    <row r="42" spans="1:11" ht="18" x14ac:dyDescent="0.35">
      <c r="A42" t="s">
        <v>43</v>
      </c>
      <c r="B42" t="s">
        <v>643</v>
      </c>
      <c r="C42">
        <v>11.2</v>
      </c>
      <c r="D42">
        <v>1</v>
      </c>
      <c r="E42" s="10">
        <f t="shared" si="0"/>
        <v>-0.22526151049938356</v>
      </c>
      <c r="F42" s="3" t="s">
        <v>639</v>
      </c>
      <c r="G42" s="2">
        <v>196</v>
      </c>
    </row>
    <row r="43" spans="1:11" ht="18" x14ac:dyDescent="0.35">
      <c r="A43" t="s">
        <v>44</v>
      </c>
      <c r="B43" t="s">
        <v>642</v>
      </c>
      <c r="C43">
        <v>12.5</v>
      </c>
      <c r="D43">
        <v>1</v>
      </c>
      <c r="E43" s="10">
        <f t="shared" si="0"/>
        <v>0.75759206801339674</v>
      </c>
      <c r="F43" s="3" t="s">
        <v>646</v>
      </c>
      <c r="G43" s="7">
        <f>AVERAGE(C2:C200)</f>
        <v>11.497948717948724</v>
      </c>
    </row>
    <row r="44" spans="1:11" ht="18" x14ac:dyDescent="0.35">
      <c r="A44" t="s">
        <v>45</v>
      </c>
      <c r="B44" t="s">
        <v>643</v>
      </c>
      <c r="C44">
        <v>12.1</v>
      </c>
      <c r="D44">
        <v>2</v>
      </c>
      <c r="E44" s="10">
        <f t="shared" si="0"/>
        <v>0.45517558231715655</v>
      </c>
      <c r="F44" s="3" t="s">
        <v>651</v>
      </c>
      <c r="G44" s="7">
        <f>_xlfn.STDEV.S(C2:C200)</f>
        <v>1.3226792153182321</v>
      </c>
    </row>
    <row r="45" spans="1:11" ht="18" x14ac:dyDescent="0.35">
      <c r="A45" t="s">
        <v>46</v>
      </c>
      <c r="B45" t="s">
        <v>643</v>
      </c>
      <c r="C45">
        <v>13</v>
      </c>
      <c r="D45">
        <v>2</v>
      </c>
      <c r="E45" s="10">
        <f t="shared" si="0"/>
        <v>1.1356126751336968</v>
      </c>
      <c r="F45" s="3" t="s">
        <v>644</v>
      </c>
      <c r="G45" s="2">
        <f t="array" ref="G45">COUNTIFS( C12:C255, "&lt;11")</f>
        <v>63</v>
      </c>
    </row>
    <row r="46" spans="1:11" ht="18" x14ac:dyDescent="0.35">
      <c r="A46" t="s">
        <v>47</v>
      </c>
      <c r="B46" t="s">
        <v>643</v>
      </c>
      <c r="C46">
        <v>10.7</v>
      </c>
      <c r="D46">
        <v>3</v>
      </c>
      <c r="E46" s="10">
        <f t="shared" si="0"/>
        <v>-0.60328211761968353</v>
      </c>
      <c r="F46" s="3" t="s">
        <v>645</v>
      </c>
      <c r="G46" s="7">
        <f>G45/G42*100</f>
        <v>32.142857142857146</v>
      </c>
    </row>
    <row r="47" spans="1:11" x14ac:dyDescent="0.3">
      <c r="A47" t="s">
        <v>48</v>
      </c>
      <c r="B47" t="s">
        <v>642</v>
      </c>
      <c r="C47">
        <v>11.2</v>
      </c>
      <c r="D47">
        <v>1</v>
      </c>
      <c r="E47" s="10">
        <f t="shared" si="0"/>
        <v>-0.22526151049938356</v>
      </c>
    </row>
    <row r="48" spans="1:11" x14ac:dyDescent="0.3">
      <c r="A48" t="s">
        <v>49</v>
      </c>
      <c r="B48" t="s">
        <v>643</v>
      </c>
      <c r="C48">
        <v>10.8</v>
      </c>
      <c r="D48">
        <v>1</v>
      </c>
      <c r="E48" s="10">
        <f t="shared" si="0"/>
        <v>-0.52767799619562239</v>
      </c>
    </row>
    <row r="49" spans="1:5" x14ac:dyDescent="0.3">
      <c r="A49" t="s">
        <v>50</v>
      </c>
      <c r="B49" t="s">
        <v>643</v>
      </c>
      <c r="C49">
        <v>12.3</v>
      </c>
      <c r="D49">
        <v>3</v>
      </c>
      <c r="E49" s="10">
        <f t="shared" si="0"/>
        <v>0.60638382516527733</v>
      </c>
    </row>
    <row r="50" spans="1:5" x14ac:dyDescent="0.3">
      <c r="A50" t="s">
        <v>51</v>
      </c>
      <c r="B50" t="s">
        <v>642</v>
      </c>
      <c r="C50">
        <v>12</v>
      </c>
      <c r="D50">
        <v>3</v>
      </c>
      <c r="E50" s="10">
        <f t="shared" si="0"/>
        <v>0.37957146089309685</v>
      </c>
    </row>
    <row r="51" spans="1:5" x14ac:dyDescent="0.3">
      <c r="A51" t="s">
        <v>52</v>
      </c>
      <c r="B51" t="s">
        <v>643</v>
      </c>
      <c r="C51">
        <v>7.3</v>
      </c>
      <c r="D51">
        <v>1</v>
      </c>
      <c r="E51" s="10">
        <f t="shared" si="0"/>
        <v>-3.1738222460377226</v>
      </c>
    </row>
    <row r="52" spans="1:5" x14ac:dyDescent="0.3">
      <c r="A52" t="s">
        <v>53</v>
      </c>
      <c r="B52" t="s">
        <v>643</v>
      </c>
      <c r="C52">
        <v>10.5</v>
      </c>
      <c r="D52">
        <v>2</v>
      </c>
      <c r="E52" s="10">
        <f t="shared" si="0"/>
        <v>-0.75449036046780293</v>
      </c>
    </row>
    <row r="53" spans="1:5" x14ac:dyDescent="0.3">
      <c r="A53" t="s">
        <v>54</v>
      </c>
      <c r="B53" t="s">
        <v>643</v>
      </c>
      <c r="C53">
        <v>9.1</v>
      </c>
      <c r="D53">
        <v>4</v>
      </c>
      <c r="E53" s="10">
        <f t="shared" si="0"/>
        <v>-1.8129480604046431</v>
      </c>
    </row>
    <row r="54" spans="1:5" x14ac:dyDescent="0.3">
      <c r="A54" t="s">
        <v>55</v>
      </c>
      <c r="B54" t="s">
        <v>642</v>
      </c>
      <c r="C54">
        <v>12.7</v>
      </c>
      <c r="D54">
        <v>2</v>
      </c>
      <c r="E54" s="10">
        <f t="shared" si="0"/>
        <v>0.90880031086151625</v>
      </c>
    </row>
    <row r="55" spans="1:5" x14ac:dyDescent="0.3">
      <c r="A55" t="s">
        <v>56</v>
      </c>
      <c r="B55" t="s">
        <v>643</v>
      </c>
      <c r="C55">
        <v>11.9</v>
      </c>
      <c r="D55">
        <v>2</v>
      </c>
      <c r="E55" s="10">
        <f t="shared" si="0"/>
        <v>0.30396733946903715</v>
      </c>
    </row>
    <row r="56" spans="1:5" x14ac:dyDescent="0.3">
      <c r="A56" t="s">
        <v>57</v>
      </c>
      <c r="B56" t="s">
        <v>643</v>
      </c>
      <c r="C56">
        <v>12</v>
      </c>
      <c r="D56">
        <v>1</v>
      </c>
      <c r="E56" s="10">
        <f t="shared" si="0"/>
        <v>0.37957146089309685</v>
      </c>
    </row>
    <row r="57" spans="1:5" x14ac:dyDescent="0.3">
      <c r="A57" t="s">
        <v>58</v>
      </c>
      <c r="B57" t="s">
        <v>642</v>
      </c>
      <c r="C57">
        <v>7.8</v>
      </c>
      <c r="D57">
        <v>1</v>
      </c>
      <c r="E57" s="10">
        <f t="shared" si="0"/>
        <v>-2.7958016389174225</v>
      </c>
    </row>
    <row r="58" spans="1:5" x14ac:dyDescent="0.3">
      <c r="A58" t="s">
        <v>59</v>
      </c>
      <c r="B58" t="s">
        <v>643</v>
      </c>
      <c r="C58">
        <v>11.5</v>
      </c>
      <c r="D58">
        <v>2</v>
      </c>
      <c r="E58" s="10">
        <f t="shared" si="0"/>
        <v>1.5508537727969274E-3</v>
      </c>
    </row>
    <row r="59" spans="1:5" x14ac:dyDescent="0.3">
      <c r="A59" t="s">
        <v>60</v>
      </c>
      <c r="B59" t="s">
        <v>643</v>
      </c>
      <c r="C59">
        <v>11.3</v>
      </c>
      <c r="D59">
        <v>1</v>
      </c>
      <c r="E59" s="10">
        <f t="shared" si="0"/>
        <v>-0.1496573890753225</v>
      </c>
    </row>
    <row r="60" spans="1:5" x14ac:dyDescent="0.3">
      <c r="A60" t="s">
        <v>61</v>
      </c>
      <c r="B60" t="s">
        <v>642</v>
      </c>
      <c r="C60">
        <v>10.199999999999999</v>
      </c>
      <c r="D60">
        <v>4</v>
      </c>
      <c r="E60" s="10">
        <f t="shared" si="0"/>
        <v>-0.98130272473998337</v>
      </c>
    </row>
    <row r="61" spans="1:5" x14ac:dyDescent="0.3">
      <c r="A61" t="s">
        <v>62</v>
      </c>
      <c r="B61" t="s">
        <v>643</v>
      </c>
      <c r="C61">
        <v>11</v>
      </c>
      <c r="D61">
        <v>1</v>
      </c>
      <c r="E61" s="10">
        <f t="shared" si="0"/>
        <v>-0.37646975334750299</v>
      </c>
    </row>
    <row r="62" spans="1:5" x14ac:dyDescent="0.3">
      <c r="A62" t="s">
        <v>63</v>
      </c>
      <c r="B62" t="s">
        <v>643</v>
      </c>
      <c r="C62">
        <v>9.5</v>
      </c>
      <c r="D62">
        <v>1</v>
      </c>
      <c r="E62" s="10">
        <f t="shared" si="0"/>
        <v>-1.5105315747084027</v>
      </c>
    </row>
    <row r="63" spans="1:5" x14ac:dyDescent="0.3">
      <c r="A63" t="s">
        <v>64</v>
      </c>
      <c r="B63" t="s">
        <v>643</v>
      </c>
      <c r="C63">
        <v>11.7</v>
      </c>
      <c r="D63">
        <v>1</v>
      </c>
      <c r="E63" s="10">
        <f t="shared" si="0"/>
        <v>0.15275909662091636</v>
      </c>
    </row>
    <row r="64" spans="1:5" x14ac:dyDescent="0.3">
      <c r="A64" t="s">
        <v>65</v>
      </c>
      <c r="B64" t="s">
        <v>642</v>
      </c>
      <c r="C64">
        <v>12.9</v>
      </c>
      <c r="D64">
        <v>3</v>
      </c>
      <c r="E64" s="10">
        <f t="shared" si="0"/>
        <v>1.0600085537096371</v>
      </c>
    </row>
    <row r="65" spans="1:5" x14ac:dyDescent="0.3">
      <c r="A65" t="s">
        <v>66</v>
      </c>
      <c r="B65" t="s">
        <v>642</v>
      </c>
      <c r="C65">
        <v>9.4</v>
      </c>
      <c r="D65">
        <v>2</v>
      </c>
      <c r="E65" s="10">
        <f t="shared" si="0"/>
        <v>-1.5861356961324624</v>
      </c>
    </row>
    <row r="66" spans="1:5" x14ac:dyDescent="0.3">
      <c r="A66" t="s">
        <v>67</v>
      </c>
      <c r="B66" t="s">
        <v>643</v>
      </c>
      <c r="C66">
        <v>11.5</v>
      </c>
      <c r="D66">
        <v>2</v>
      </c>
      <c r="E66" s="10">
        <f t="shared" si="0"/>
        <v>1.5508537727969274E-3</v>
      </c>
    </row>
    <row r="67" spans="1:5" x14ac:dyDescent="0.3">
      <c r="A67" t="s">
        <v>68</v>
      </c>
      <c r="B67" t="s">
        <v>643</v>
      </c>
      <c r="C67">
        <v>11.4</v>
      </c>
      <c r="D67">
        <v>2</v>
      </c>
      <c r="E67" s="10">
        <f t="shared" ref="E67:E130" si="1">STANDARDIZE(C67, AVERAGE($C$2:$C$242), _xlfn.STDEV.S($C$2:$C$242))</f>
        <v>-7.4053267651262786E-2</v>
      </c>
    </row>
    <row r="68" spans="1:5" x14ac:dyDescent="0.3">
      <c r="A68" t="s">
        <v>69</v>
      </c>
      <c r="B68" t="s">
        <v>643</v>
      </c>
      <c r="C68">
        <v>10.4</v>
      </c>
      <c r="D68">
        <v>1</v>
      </c>
      <c r="E68" s="10">
        <f t="shared" si="1"/>
        <v>-0.83009448189186263</v>
      </c>
    </row>
    <row r="69" spans="1:5" x14ac:dyDescent="0.3">
      <c r="A69" t="s">
        <v>70</v>
      </c>
      <c r="B69" t="s">
        <v>643</v>
      </c>
      <c r="C69">
        <v>9.1999999999999993</v>
      </c>
      <c r="D69">
        <v>1</v>
      </c>
      <c r="E69" s="10">
        <f t="shared" si="1"/>
        <v>-1.7373439389805834</v>
      </c>
    </row>
    <row r="70" spans="1:5" x14ac:dyDescent="0.3">
      <c r="A70" t="s">
        <v>71</v>
      </c>
      <c r="B70" t="s">
        <v>643</v>
      </c>
      <c r="C70">
        <v>11.9</v>
      </c>
      <c r="D70">
        <v>1</v>
      </c>
      <c r="E70" s="10">
        <f t="shared" si="1"/>
        <v>0.30396733946903715</v>
      </c>
    </row>
    <row r="71" spans="1:5" x14ac:dyDescent="0.3">
      <c r="A71" t="s">
        <v>72</v>
      </c>
      <c r="B71" t="s">
        <v>643</v>
      </c>
      <c r="C71">
        <v>10.199999999999999</v>
      </c>
      <c r="D71">
        <v>1</v>
      </c>
      <c r="E71" s="10">
        <f t="shared" si="1"/>
        <v>-0.98130272473998337</v>
      </c>
    </row>
    <row r="72" spans="1:5" x14ac:dyDescent="0.3">
      <c r="A72" t="s">
        <v>73</v>
      </c>
      <c r="B72" t="s">
        <v>642</v>
      </c>
      <c r="C72">
        <v>13</v>
      </c>
      <c r="D72">
        <v>2</v>
      </c>
      <c r="E72" s="10">
        <f t="shared" si="1"/>
        <v>1.1356126751336968</v>
      </c>
    </row>
    <row r="73" spans="1:5" x14ac:dyDescent="0.3">
      <c r="A73" t="s">
        <v>74</v>
      </c>
      <c r="B73" t="s">
        <v>643</v>
      </c>
      <c r="C73">
        <v>10.9</v>
      </c>
      <c r="D73">
        <v>2</v>
      </c>
      <c r="E73" s="10">
        <f t="shared" si="1"/>
        <v>-0.45207387477156274</v>
      </c>
    </row>
    <row r="74" spans="1:5" x14ac:dyDescent="0.3">
      <c r="A74" t="s">
        <v>75</v>
      </c>
      <c r="B74" t="s">
        <v>643</v>
      </c>
      <c r="C74">
        <v>11.9</v>
      </c>
      <c r="D74">
        <v>2</v>
      </c>
      <c r="E74" s="10">
        <f t="shared" si="1"/>
        <v>0.30396733946903715</v>
      </c>
    </row>
    <row r="75" spans="1:5" x14ac:dyDescent="0.3">
      <c r="A75" t="s">
        <v>76</v>
      </c>
      <c r="B75" t="s">
        <v>642</v>
      </c>
      <c r="C75">
        <v>12.1</v>
      </c>
      <c r="D75">
        <v>2</v>
      </c>
      <c r="E75" s="10">
        <f t="shared" si="1"/>
        <v>0.45517558231715655</v>
      </c>
    </row>
    <row r="76" spans="1:5" x14ac:dyDescent="0.3">
      <c r="A76" t="s">
        <v>77</v>
      </c>
      <c r="B76" t="s">
        <v>643</v>
      </c>
      <c r="C76">
        <v>10</v>
      </c>
      <c r="D76">
        <v>2</v>
      </c>
      <c r="E76" s="10">
        <f t="shared" si="1"/>
        <v>-1.1325109675881029</v>
      </c>
    </row>
    <row r="77" spans="1:5" x14ac:dyDescent="0.3">
      <c r="A77" t="s">
        <v>78</v>
      </c>
      <c r="B77" t="s">
        <v>643</v>
      </c>
      <c r="C77">
        <v>11.9</v>
      </c>
      <c r="D77">
        <v>1</v>
      </c>
      <c r="E77" s="10">
        <f t="shared" si="1"/>
        <v>0.30396733946903715</v>
      </c>
    </row>
    <row r="78" spans="1:5" x14ac:dyDescent="0.3">
      <c r="A78" t="s">
        <v>79</v>
      </c>
      <c r="B78" t="s">
        <v>643</v>
      </c>
      <c r="C78">
        <v>11.3</v>
      </c>
      <c r="D78">
        <v>2</v>
      </c>
      <c r="E78" s="10">
        <f t="shared" si="1"/>
        <v>-0.1496573890753225</v>
      </c>
    </row>
    <row r="79" spans="1:5" x14ac:dyDescent="0.3">
      <c r="A79" t="s">
        <v>80</v>
      </c>
      <c r="B79" t="s">
        <v>643</v>
      </c>
      <c r="C79">
        <v>11.2</v>
      </c>
      <c r="D79">
        <v>1</v>
      </c>
      <c r="E79" s="10">
        <f t="shared" si="1"/>
        <v>-0.22526151049938356</v>
      </c>
    </row>
    <row r="80" spans="1:5" x14ac:dyDescent="0.3">
      <c r="A80" t="s">
        <v>81</v>
      </c>
      <c r="B80" t="s">
        <v>643</v>
      </c>
      <c r="C80">
        <v>10.8</v>
      </c>
      <c r="D80">
        <v>2</v>
      </c>
      <c r="E80" s="10">
        <f t="shared" si="1"/>
        <v>-0.52767799619562239</v>
      </c>
    </row>
    <row r="81" spans="1:5" x14ac:dyDescent="0.3">
      <c r="A81" t="s">
        <v>82</v>
      </c>
      <c r="B81" t="s">
        <v>643</v>
      </c>
      <c r="C81">
        <v>11.9</v>
      </c>
      <c r="D81">
        <v>2</v>
      </c>
      <c r="E81" s="10">
        <f t="shared" si="1"/>
        <v>0.30396733946903715</v>
      </c>
    </row>
    <row r="82" spans="1:5" x14ac:dyDescent="0.3">
      <c r="A82" t="s">
        <v>83</v>
      </c>
      <c r="B82" t="s">
        <v>643</v>
      </c>
      <c r="C82">
        <v>14</v>
      </c>
      <c r="D82">
        <v>2</v>
      </c>
      <c r="E82" s="10">
        <f t="shared" si="1"/>
        <v>1.8916538893742965</v>
      </c>
    </row>
    <row r="83" spans="1:5" x14ac:dyDescent="0.3">
      <c r="A83" t="s">
        <v>84</v>
      </c>
      <c r="B83" t="s">
        <v>643</v>
      </c>
      <c r="C83">
        <v>10.3</v>
      </c>
      <c r="D83">
        <v>1</v>
      </c>
      <c r="E83" s="10">
        <f t="shared" si="1"/>
        <v>-0.90569860331592233</v>
      </c>
    </row>
    <row r="84" spans="1:5" x14ac:dyDescent="0.3">
      <c r="A84" t="s">
        <v>85</v>
      </c>
      <c r="B84" t="s">
        <v>643</v>
      </c>
      <c r="C84">
        <v>10.9</v>
      </c>
      <c r="D84">
        <v>1</v>
      </c>
      <c r="E84" s="10">
        <f t="shared" si="1"/>
        <v>-0.45207387477156274</v>
      </c>
    </row>
    <row r="85" spans="1:5" x14ac:dyDescent="0.3">
      <c r="A85" t="s">
        <v>86</v>
      </c>
      <c r="B85" t="s">
        <v>642</v>
      </c>
      <c r="C85">
        <v>10.4</v>
      </c>
      <c r="D85">
        <v>3</v>
      </c>
      <c r="E85" s="10">
        <f t="shared" si="1"/>
        <v>-0.83009448189186263</v>
      </c>
    </row>
    <row r="86" spans="1:5" x14ac:dyDescent="0.3">
      <c r="A86" t="s">
        <v>87</v>
      </c>
      <c r="B86" t="s">
        <v>643</v>
      </c>
      <c r="C86">
        <v>13.2</v>
      </c>
      <c r="D86">
        <v>2</v>
      </c>
      <c r="E86" s="10">
        <f t="shared" si="1"/>
        <v>1.2868209179818162</v>
      </c>
    </row>
    <row r="87" spans="1:5" x14ac:dyDescent="0.3">
      <c r="A87" t="s">
        <v>88</v>
      </c>
      <c r="B87" t="s">
        <v>642</v>
      </c>
      <c r="C87">
        <v>11.6</v>
      </c>
      <c r="D87">
        <v>3</v>
      </c>
      <c r="E87" s="10">
        <f t="shared" si="1"/>
        <v>7.7154975196856643E-2</v>
      </c>
    </row>
    <row r="88" spans="1:5" x14ac:dyDescent="0.3">
      <c r="A88" t="s">
        <v>89</v>
      </c>
      <c r="B88" t="s">
        <v>643</v>
      </c>
      <c r="C88">
        <v>12.6</v>
      </c>
      <c r="D88">
        <v>3</v>
      </c>
      <c r="E88" s="10">
        <f t="shared" si="1"/>
        <v>0.83319618943745655</v>
      </c>
    </row>
    <row r="89" spans="1:5" x14ac:dyDescent="0.3">
      <c r="A89" t="s">
        <v>90</v>
      </c>
      <c r="B89" t="s">
        <v>643</v>
      </c>
      <c r="C89">
        <v>8.6</v>
      </c>
      <c r="D89">
        <v>1</v>
      </c>
      <c r="E89" s="10">
        <f t="shared" si="1"/>
        <v>-2.1909686675249431</v>
      </c>
    </row>
    <row r="90" spans="1:5" x14ac:dyDescent="0.3">
      <c r="A90" t="s">
        <v>91</v>
      </c>
      <c r="B90" t="s">
        <v>643</v>
      </c>
      <c r="C90">
        <v>11.4</v>
      </c>
      <c r="D90">
        <v>1</v>
      </c>
      <c r="E90" s="10">
        <f t="shared" si="1"/>
        <v>-7.4053267651262786E-2</v>
      </c>
    </row>
    <row r="91" spans="1:5" x14ac:dyDescent="0.3">
      <c r="A91" t="s">
        <v>92</v>
      </c>
      <c r="B91" t="s">
        <v>643</v>
      </c>
      <c r="C91">
        <v>9.6999999999999993</v>
      </c>
      <c r="D91">
        <v>1</v>
      </c>
      <c r="E91" s="10">
        <f t="shared" si="1"/>
        <v>-1.3593233318602833</v>
      </c>
    </row>
    <row r="92" spans="1:5" x14ac:dyDescent="0.3">
      <c r="A92" t="s">
        <v>93</v>
      </c>
      <c r="B92" t="s">
        <v>643</v>
      </c>
      <c r="C92">
        <v>10.8</v>
      </c>
      <c r="D92">
        <v>5</v>
      </c>
      <c r="E92" s="10">
        <f t="shared" si="1"/>
        <v>-0.52767799619562239</v>
      </c>
    </row>
    <row r="93" spans="1:5" x14ac:dyDescent="0.3">
      <c r="A93" t="s">
        <v>94</v>
      </c>
      <c r="B93" t="s">
        <v>643</v>
      </c>
      <c r="C93">
        <v>10.1</v>
      </c>
      <c r="D93">
        <v>5</v>
      </c>
      <c r="E93" s="10">
        <f t="shared" si="1"/>
        <v>-1.0569068461640432</v>
      </c>
    </row>
    <row r="94" spans="1:5" x14ac:dyDescent="0.3">
      <c r="A94" t="s">
        <v>95</v>
      </c>
      <c r="B94" t="s">
        <v>642</v>
      </c>
      <c r="C94">
        <v>14.2</v>
      </c>
      <c r="D94">
        <v>2</v>
      </c>
      <c r="E94" s="10">
        <f t="shared" si="1"/>
        <v>2.0428621322224161</v>
      </c>
    </row>
    <row r="95" spans="1:5" x14ac:dyDescent="0.3">
      <c r="A95" t="s">
        <v>96</v>
      </c>
      <c r="B95" t="s">
        <v>642</v>
      </c>
      <c r="C95">
        <v>12</v>
      </c>
      <c r="D95">
        <v>2</v>
      </c>
      <c r="E95" s="10">
        <f t="shared" si="1"/>
        <v>0.37957146089309685</v>
      </c>
    </row>
    <row r="96" spans="1:5" x14ac:dyDescent="0.3">
      <c r="A96" t="s">
        <v>97</v>
      </c>
      <c r="B96" t="s">
        <v>643</v>
      </c>
      <c r="C96">
        <v>11.3</v>
      </c>
      <c r="D96">
        <v>3</v>
      </c>
      <c r="E96" s="10">
        <f t="shared" si="1"/>
        <v>-0.1496573890753225</v>
      </c>
    </row>
    <row r="97" spans="1:5" x14ac:dyDescent="0.3">
      <c r="A97" t="s">
        <v>98</v>
      </c>
      <c r="B97" t="s">
        <v>643</v>
      </c>
      <c r="C97">
        <v>12.7</v>
      </c>
      <c r="D97">
        <v>1</v>
      </c>
      <c r="E97" s="10">
        <f t="shared" si="1"/>
        <v>0.90880031086151625</v>
      </c>
    </row>
    <row r="98" spans="1:5" x14ac:dyDescent="0.3">
      <c r="A98" t="s">
        <v>99</v>
      </c>
      <c r="B98" t="s">
        <v>643</v>
      </c>
      <c r="C98">
        <v>12.7</v>
      </c>
      <c r="D98">
        <v>2</v>
      </c>
      <c r="E98" s="10">
        <f t="shared" si="1"/>
        <v>0.90880031086151625</v>
      </c>
    </row>
    <row r="99" spans="1:5" x14ac:dyDescent="0.3">
      <c r="A99" t="s">
        <v>100</v>
      </c>
      <c r="B99" t="s">
        <v>642</v>
      </c>
      <c r="C99">
        <v>10</v>
      </c>
      <c r="D99">
        <v>2</v>
      </c>
      <c r="E99" s="10">
        <f t="shared" si="1"/>
        <v>-1.1325109675881029</v>
      </c>
    </row>
    <row r="100" spans="1:5" x14ac:dyDescent="0.3">
      <c r="A100" t="s">
        <v>101</v>
      </c>
      <c r="B100" t="s">
        <v>642</v>
      </c>
      <c r="C100">
        <v>13.2</v>
      </c>
      <c r="D100">
        <v>3</v>
      </c>
      <c r="E100" s="10">
        <f t="shared" si="1"/>
        <v>1.2868209179818162</v>
      </c>
    </row>
    <row r="101" spans="1:5" x14ac:dyDescent="0.3">
      <c r="A101" t="s">
        <v>102</v>
      </c>
      <c r="B101" t="s">
        <v>642</v>
      </c>
      <c r="C101">
        <v>12.7</v>
      </c>
      <c r="D101">
        <v>2</v>
      </c>
      <c r="E101" s="10">
        <f t="shared" si="1"/>
        <v>0.90880031086151625</v>
      </c>
    </row>
    <row r="102" spans="1:5" x14ac:dyDescent="0.3">
      <c r="A102" t="s">
        <v>103</v>
      </c>
      <c r="B102" t="s">
        <v>643</v>
      </c>
      <c r="C102">
        <v>11.9</v>
      </c>
      <c r="D102">
        <v>2</v>
      </c>
      <c r="E102" s="10">
        <f t="shared" si="1"/>
        <v>0.30396733946903715</v>
      </c>
    </row>
    <row r="103" spans="1:5" x14ac:dyDescent="0.3">
      <c r="A103" t="s">
        <v>104</v>
      </c>
      <c r="B103" t="s">
        <v>643</v>
      </c>
      <c r="C103">
        <v>12.4</v>
      </c>
      <c r="D103">
        <v>2</v>
      </c>
      <c r="E103" s="10">
        <f t="shared" si="1"/>
        <v>0.68198794658933704</v>
      </c>
    </row>
    <row r="104" spans="1:5" x14ac:dyDescent="0.3">
      <c r="A104" t="s">
        <v>105</v>
      </c>
      <c r="B104" t="s">
        <v>643</v>
      </c>
      <c r="C104">
        <v>11.9</v>
      </c>
      <c r="D104">
        <v>3</v>
      </c>
      <c r="E104" s="10">
        <f t="shared" si="1"/>
        <v>0.30396733946903715</v>
      </c>
    </row>
    <row r="105" spans="1:5" x14ac:dyDescent="0.3">
      <c r="A105" t="s">
        <v>106</v>
      </c>
      <c r="B105" t="s">
        <v>643</v>
      </c>
      <c r="C105">
        <v>12.1</v>
      </c>
      <c r="D105">
        <v>1</v>
      </c>
      <c r="E105" s="10">
        <f t="shared" si="1"/>
        <v>0.45517558231715655</v>
      </c>
    </row>
    <row r="106" spans="1:5" x14ac:dyDescent="0.3">
      <c r="A106" t="s">
        <v>107</v>
      </c>
      <c r="B106" t="s">
        <v>642</v>
      </c>
      <c r="C106">
        <v>12.1</v>
      </c>
      <c r="D106">
        <v>3</v>
      </c>
      <c r="E106" s="10">
        <f t="shared" si="1"/>
        <v>0.45517558231715655</v>
      </c>
    </row>
    <row r="107" spans="1:5" x14ac:dyDescent="0.3">
      <c r="A107" t="s">
        <v>108</v>
      </c>
      <c r="B107" t="s">
        <v>643</v>
      </c>
      <c r="C107">
        <v>11.3</v>
      </c>
      <c r="D107">
        <v>2</v>
      </c>
      <c r="E107" s="10">
        <f t="shared" si="1"/>
        <v>-0.1496573890753225</v>
      </c>
    </row>
    <row r="108" spans="1:5" x14ac:dyDescent="0.3">
      <c r="A108" t="s">
        <v>109</v>
      </c>
      <c r="B108" t="s">
        <v>643</v>
      </c>
      <c r="C108">
        <v>13.3</v>
      </c>
      <c r="D108">
        <v>2</v>
      </c>
      <c r="E108" s="10">
        <f t="shared" si="1"/>
        <v>1.3624250394058772</v>
      </c>
    </row>
    <row r="109" spans="1:5" x14ac:dyDescent="0.3">
      <c r="A109" t="s">
        <v>110</v>
      </c>
      <c r="B109" t="s">
        <v>642</v>
      </c>
      <c r="C109">
        <v>12</v>
      </c>
      <c r="D109">
        <v>2</v>
      </c>
      <c r="E109" s="10">
        <f t="shared" si="1"/>
        <v>0.37957146089309685</v>
      </c>
    </row>
    <row r="110" spans="1:5" x14ac:dyDescent="0.3">
      <c r="A110" t="s">
        <v>111</v>
      </c>
      <c r="B110" t="s">
        <v>643</v>
      </c>
      <c r="C110">
        <v>13.4</v>
      </c>
      <c r="D110">
        <v>3</v>
      </c>
      <c r="E110" s="10">
        <f t="shared" si="1"/>
        <v>1.4380291608299369</v>
      </c>
    </row>
    <row r="111" spans="1:5" x14ac:dyDescent="0.3">
      <c r="A111" t="s">
        <v>112</v>
      </c>
      <c r="B111" t="s">
        <v>643</v>
      </c>
      <c r="C111">
        <v>14.1</v>
      </c>
      <c r="D111">
        <v>2</v>
      </c>
      <c r="E111" s="10">
        <f t="shared" si="1"/>
        <v>1.9672580107983564</v>
      </c>
    </row>
    <row r="112" spans="1:5" x14ac:dyDescent="0.3">
      <c r="A112" t="s">
        <v>113</v>
      </c>
      <c r="B112" t="s">
        <v>643</v>
      </c>
      <c r="C112">
        <v>12.6</v>
      </c>
      <c r="D112">
        <v>1</v>
      </c>
      <c r="E112" s="10">
        <f t="shared" si="1"/>
        <v>0.83319618943745655</v>
      </c>
    </row>
    <row r="113" spans="1:5" x14ac:dyDescent="0.3">
      <c r="A113" t="s">
        <v>114</v>
      </c>
      <c r="B113" t="s">
        <v>643</v>
      </c>
      <c r="C113">
        <v>11.8</v>
      </c>
      <c r="D113">
        <v>2</v>
      </c>
      <c r="E113" s="10">
        <f t="shared" si="1"/>
        <v>0.22836321804497742</v>
      </c>
    </row>
    <row r="114" spans="1:5" x14ac:dyDescent="0.3">
      <c r="A114" t="s">
        <v>115</v>
      </c>
      <c r="B114" t="s">
        <v>643</v>
      </c>
      <c r="C114">
        <v>11.8</v>
      </c>
      <c r="D114">
        <v>1</v>
      </c>
      <c r="E114" s="10">
        <f t="shared" si="1"/>
        <v>0.22836321804497742</v>
      </c>
    </row>
    <row r="115" spans="1:5" x14ac:dyDescent="0.3">
      <c r="A115" t="s">
        <v>116</v>
      </c>
      <c r="B115" t="s">
        <v>643</v>
      </c>
      <c r="C115">
        <v>10.6</v>
      </c>
      <c r="D115">
        <v>2</v>
      </c>
      <c r="E115" s="10">
        <f t="shared" si="1"/>
        <v>-0.67888623904374323</v>
      </c>
    </row>
    <row r="116" spans="1:5" x14ac:dyDescent="0.3">
      <c r="A116" t="s">
        <v>117</v>
      </c>
      <c r="B116" t="s">
        <v>643</v>
      </c>
      <c r="C116">
        <v>10.199999999999999</v>
      </c>
      <c r="D116">
        <v>1</v>
      </c>
      <c r="E116" s="10">
        <f t="shared" si="1"/>
        <v>-0.98130272473998337</v>
      </c>
    </row>
    <row r="117" spans="1:5" x14ac:dyDescent="0.3">
      <c r="A117" t="s">
        <v>118</v>
      </c>
      <c r="B117" t="s">
        <v>642</v>
      </c>
      <c r="C117">
        <v>10.9</v>
      </c>
      <c r="D117">
        <v>3</v>
      </c>
      <c r="E117" s="10">
        <f t="shared" si="1"/>
        <v>-0.45207387477156274</v>
      </c>
    </row>
    <row r="118" spans="1:5" x14ac:dyDescent="0.3">
      <c r="A118" t="s">
        <v>119</v>
      </c>
      <c r="B118" t="s">
        <v>643</v>
      </c>
      <c r="C118">
        <v>13.7</v>
      </c>
      <c r="D118">
        <v>2</v>
      </c>
      <c r="E118" s="10">
        <f t="shared" si="1"/>
        <v>1.664841525102116</v>
      </c>
    </row>
    <row r="119" spans="1:5" x14ac:dyDescent="0.3">
      <c r="A119" t="s">
        <v>120</v>
      </c>
      <c r="B119" t="s">
        <v>643</v>
      </c>
      <c r="C119">
        <v>10.9</v>
      </c>
      <c r="D119">
        <v>3</v>
      </c>
      <c r="E119" s="10">
        <f t="shared" si="1"/>
        <v>-0.45207387477156274</v>
      </c>
    </row>
    <row r="120" spans="1:5" x14ac:dyDescent="0.3">
      <c r="A120" t="s">
        <v>121</v>
      </c>
      <c r="B120" t="s">
        <v>643</v>
      </c>
      <c r="C120">
        <v>13.4</v>
      </c>
      <c r="D120">
        <v>2</v>
      </c>
      <c r="E120" s="10">
        <f t="shared" si="1"/>
        <v>1.4380291608299369</v>
      </c>
    </row>
    <row r="121" spans="1:5" x14ac:dyDescent="0.3">
      <c r="A121" t="s">
        <v>122</v>
      </c>
      <c r="B121" t="s">
        <v>643</v>
      </c>
      <c r="C121">
        <v>9.6</v>
      </c>
      <c r="D121">
        <v>3</v>
      </c>
      <c r="E121" s="10">
        <f t="shared" si="1"/>
        <v>-1.434927453284343</v>
      </c>
    </row>
    <row r="122" spans="1:5" x14ac:dyDescent="0.3">
      <c r="A122" t="s">
        <v>123</v>
      </c>
      <c r="B122" t="s">
        <v>643</v>
      </c>
      <c r="C122">
        <v>11.4</v>
      </c>
      <c r="D122">
        <v>1</v>
      </c>
      <c r="E122" s="10">
        <f t="shared" si="1"/>
        <v>-7.4053267651262786E-2</v>
      </c>
    </row>
    <row r="123" spans="1:5" x14ac:dyDescent="0.3">
      <c r="A123" t="s">
        <v>124</v>
      </c>
      <c r="B123" t="s">
        <v>643</v>
      </c>
      <c r="C123">
        <v>12.4</v>
      </c>
      <c r="D123">
        <v>2</v>
      </c>
      <c r="E123" s="10">
        <f t="shared" si="1"/>
        <v>0.68198794658933704</v>
      </c>
    </row>
    <row r="124" spans="1:5" x14ac:dyDescent="0.3">
      <c r="A124" t="s">
        <v>125</v>
      </c>
      <c r="B124" t="s">
        <v>643</v>
      </c>
      <c r="C124">
        <v>11.5</v>
      </c>
      <c r="D124">
        <v>2</v>
      </c>
      <c r="E124" s="10">
        <f t="shared" si="1"/>
        <v>1.5508537727969274E-3</v>
      </c>
    </row>
    <row r="125" spans="1:5" x14ac:dyDescent="0.3">
      <c r="A125" t="s">
        <v>126</v>
      </c>
      <c r="B125" t="s">
        <v>643</v>
      </c>
      <c r="C125">
        <v>13</v>
      </c>
      <c r="D125">
        <v>1</v>
      </c>
      <c r="E125" s="10">
        <f t="shared" si="1"/>
        <v>1.1356126751336968</v>
      </c>
    </row>
    <row r="126" spans="1:5" x14ac:dyDescent="0.3">
      <c r="A126" t="s">
        <v>127</v>
      </c>
      <c r="B126" t="s">
        <v>643</v>
      </c>
      <c r="C126">
        <v>10.4</v>
      </c>
      <c r="D126">
        <v>1</v>
      </c>
      <c r="E126" s="10">
        <f t="shared" si="1"/>
        <v>-0.83009448189186263</v>
      </c>
    </row>
    <row r="127" spans="1:5" x14ac:dyDescent="0.3">
      <c r="A127" t="s">
        <v>128</v>
      </c>
      <c r="B127" t="s">
        <v>643</v>
      </c>
      <c r="C127">
        <v>12.5</v>
      </c>
      <c r="D127">
        <v>2</v>
      </c>
      <c r="E127" s="10">
        <f t="shared" si="1"/>
        <v>0.75759206801339674</v>
      </c>
    </row>
    <row r="128" spans="1:5" x14ac:dyDescent="0.3">
      <c r="A128" t="s">
        <v>129</v>
      </c>
      <c r="B128" t="s">
        <v>643</v>
      </c>
      <c r="C128">
        <v>12.7</v>
      </c>
      <c r="D128">
        <v>1</v>
      </c>
      <c r="E128" s="10">
        <f t="shared" si="1"/>
        <v>0.90880031086151625</v>
      </c>
    </row>
    <row r="129" spans="1:5" x14ac:dyDescent="0.3">
      <c r="A129" t="s">
        <v>130</v>
      </c>
      <c r="B129" t="s">
        <v>643</v>
      </c>
      <c r="C129">
        <v>9.6</v>
      </c>
      <c r="D129">
        <v>1</v>
      </c>
      <c r="E129" s="10">
        <f t="shared" si="1"/>
        <v>-1.434927453284343</v>
      </c>
    </row>
    <row r="130" spans="1:5" x14ac:dyDescent="0.3">
      <c r="A130" t="s">
        <v>131</v>
      </c>
      <c r="B130" t="s">
        <v>643</v>
      </c>
      <c r="C130">
        <v>12.2</v>
      </c>
      <c r="D130">
        <v>2</v>
      </c>
      <c r="E130" s="10">
        <f t="shared" si="1"/>
        <v>0.5307797037412163</v>
      </c>
    </row>
    <row r="131" spans="1:5" x14ac:dyDescent="0.3">
      <c r="A131" t="s">
        <v>132</v>
      </c>
      <c r="B131" t="s">
        <v>643</v>
      </c>
      <c r="C131">
        <v>12.3</v>
      </c>
      <c r="D131">
        <v>1</v>
      </c>
      <c r="E131" s="10">
        <f t="shared" ref="E131:E194" si="2">STANDARDIZE(C131, AVERAGE($C$2:$C$242), _xlfn.STDEV.S($C$2:$C$242))</f>
        <v>0.60638382516527733</v>
      </c>
    </row>
    <row r="132" spans="1:5" x14ac:dyDescent="0.3">
      <c r="A132" t="s">
        <v>133</v>
      </c>
      <c r="B132" t="s">
        <v>643</v>
      </c>
      <c r="C132">
        <v>12.3</v>
      </c>
      <c r="D132">
        <v>1</v>
      </c>
      <c r="E132" s="10">
        <f t="shared" si="2"/>
        <v>0.60638382516527733</v>
      </c>
    </row>
    <row r="133" spans="1:5" x14ac:dyDescent="0.3">
      <c r="A133" t="s">
        <v>134</v>
      </c>
      <c r="B133" t="s">
        <v>643</v>
      </c>
      <c r="C133">
        <v>12.6</v>
      </c>
      <c r="D133">
        <v>3</v>
      </c>
      <c r="E133" s="10">
        <f t="shared" si="2"/>
        <v>0.83319618943745655</v>
      </c>
    </row>
    <row r="134" spans="1:5" x14ac:dyDescent="0.3">
      <c r="A134" t="s">
        <v>135</v>
      </c>
      <c r="B134" t="s">
        <v>643</v>
      </c>
      <c r="C134">
        <v>11.6</v>
      </c>
      <c r="D134">
        <v>2</v>
      </c>
      <c r="E134" s="10">
        <f t="shared" si="2"/>
        <v>7.7154975196856643E-2</v>
      </c>
    </row>
    <row r="135" spans="1:5" x14ac:dyDescent="0.3">
      <c r="A135" t="s">
        <v>136</v>
      </c>
      <c r="B135" t="s">
        <v>642</v>
      </c>
      <c r="C135">
        <v>10.4</v>
      </c>
      <c r="D135">
        <v>3</v>
      </c>
      <c r="E135" s="10">
        <f t="shared" si="2"/>
        <v>-0.83009448189186263</v>
      </c>
    </row>
    <row r="136" spans="1:5" x14ac:dyDescent="0.3">
      <c r="A136" t="s">
        <v>137</v>
      </c>
      <c r="B136" t="s">
        <v>643</v>
      </c>
      <c r="C136">
        <v>10.1</v>
      </c>
      <c r="D136">
        <v>4</v>
      </c>
      <c r="E136" s="10">
        <f t="shared" si="2"/>
        <v>-1.0569068461640432</v>
      </c>
    </row>
    <row r="137" spans="1:5" x14ac:dyDescent="0.3">
      <c r="A137" t="s">
        <v>138</v>
      </c>
      <c r="B137" t="s">
        <v>643</v>
      </c>
      <c r="C137">
        <v>9.5</v>
      </c>
      <c r="D137">
        <v>2</v>
      </c>
      <c r="E137" s="10">
        <f t="shared" si="2"/>
        <v>-1.5105315747084027</v>
      </c>
    </row>
    <row r="138" spans="1:5" x14ac:dyDescent="0.3">
      <c r="A138" t="s">
        <v>139</v>
      </c>
      <c r="B138" t="s">
        <v>643</v>
      </c>
      <c r="C138">
        <v>13</v>
      </c>
      <c r="D138">
        <v>2</v>
      </c>
      <c r="E138" s="10">
        <f t="shared" si="2"/>
        <v>1.1356126751336968</v>
      </c>
    </row>
    <row r="139" spans="1:5" x14ac:dyDescent="0.3">
      <c r="A139" t="s">
        <v>140</v>
      </c>
      <c r="B139" t="s">
        <v>643</v>
      </c>
      <c r="C139">
        <v>11.8</v>
      </c>
      <c r="D139">
        <v>1</v>
      </c>
      <c r="E139" s="10">
        <f t="shared" si="2"/>
        <v>0.22836321804497742</v>
      </c>
    </row>
    <row r="140" spans="1:5" x14ac:dyDescent="0.3">
      <c r="A140" t="s">
        <v>141</v>
      </c>
      <c r="B140" t="s">
        <v>643</v>
      </c>
      <c r="C140">
        <v>11.8</v>
      </c>
      <c r="D140">
        <v>2</v>
      </c>
      <c r="E140" s="10">
        <f t="shared" si="2"/>
        <v>0.22836321804497742</v>
      </c>
    </row>
    <row r="141" spans="1:5" x14ac:dyDescent="0.3">
      <c r="A141" t="s">
        <v>142</v>
      </c>
      <c r="B141" t="s">
        <v>643</v>
      </c>
      <c r="C141">
        <v>11.8</v>
      </c>
      <c r="D141">
        <v>1</v>
      </c>
      <c r="E141" s="10">
        <f t="shared" si="2"/>
        <v>0.22836321804497742</v>
      </c>
    </row>
    <row r="142" spans="1:5" x14ac:dyDescent="0.3">
      <c r="A142" t="s">
        <v>143</v>
      </c>
      <c r="B142" t="s">
        <v>643</v>
      </c>
      <c r="C142">
        <v>13</v>
      </c>
      <c r="D142">
        <v>2</v>
      </c>
      <c r="E142" s="10">
        <f t="shared" si="2"/>
        <v>1.1356126751336968</v>
      </c>
    </row>
    <row r="143" spans="1:5" x14ac:dyDescent="0.3">
      <c r="A143" t="s">
        <v>144</v>
      </c>
      <c r="B143" t="s">
        <v>643</v>
      </c>
      <c r="C143">
        <v>12.6</v>
      </c>
      <c r="D143">
        <v>2</v>
      </c>
      <c r="E143" s="10">
        <f t="shared" si="2"/>
        <v>0.83319618943745655</v>
      </c>
    </row>
    <row r="144" spans="1:5" x14ac:dyDescent="0.3">
      <c r="A144" t="s">
        <v>145</v>
      </c>
      <c r="B144" t="s">
        <v>643</v>
      </c>
      <c r="C144">
        <v>11.9</v>
      </c>
      <c r="D144">
        <v>2</v>
      </c>
      <c r="E144" s="10">
        <f t="shared" si="2"/>
        <v>0.30396733946903715</v>
      </c>
    </row>
    <row r="145" spans="1:5" x14ac:dyDescent="0.3">
      <c r="A145" t="s">
        <v>146</v>
      </c>
      <c r="B145" t="s">
        <v>643</v>
      </c>
      <c r="C145">
        <v>10</v>
      </c>
      <c r="D145">
        <v>2</v>
      </c>
      <c r="E145" s="10">
        <f t="shared" si="2"/>
        <v>-1.1325109675881029</v>
      </c>
    </row>
    <row r="146" spans="1:5" x14ac:dyDescent="0.3">
      <c r="A146" t="s">
        <v>147</v>
      </c>
      <c r="B146" t="s">
        <v>643</v>
      </c>
      <c r="C146">
        <v>10.3</v>
      </c>
      <c r="D146">
        <v>2</v>
      </c>
      <c r="E146" s="10">
        <f t="shared" si="2"/>
        <v>-0.90569860331592233</v>
      </c>
    </row>
    <row r="147" spans="1:5" x14ac:dyDescent="0.3">
      <c r="A147" t="s">
        <v>148</v>
      </c>
      <c r="B147" t="s">
        <v>642</v>
      </c>
      <c r="C147">
        <v>12.8</v>
      </c>
      <c r="D147">
        <v>3</v>
      </c>
      <c r="E147" s="10">
        <f t="shared" si="2"/>
        <v>0.98440443228557728</v>
      </c>
    </row>
    <row r="148" spans="1:5" x14ac:dyDescent="0.3">
      <c r="A148" t="s">
        <v>149</v>
      </c>
      <c r="B148" t="s">
        <v>643</v>
      </c>
      <c r="C148">
        <v>11</v>
      </c>
      <c r="D148">
        <v>2</v>
      </c>
      <c r="E148" s="10">
        <f t="shared" si="2"/>
        <v>-0.37646975334750299</v>
      </c>
    </row>
    <row r="149" spans="1:5" x14ac:dyDescent="0.3">
      <c r="A149" t="s">
        <v>150</v>
      </c>
      <c r="B149" t="s">
        <v>643</v>
      </c>
      <c r="C149">
        <v>10.3</v>
      </c>
      <c r="D149">
        <v>2</v>
      </c>
      <c r="E149" s="10">
        <f t="shared" si="2"/>
        <v>-0.90569860331592233</v>
      </c>
    </row>
    <row r="150" spans="1:5" x14ac:dyDescent="0.3">
      <c r="A150" t="s">
        <v>151</v>
      </c>
      <c r="B150" t="s">
        <v>643</v>
      </c>
      <c r="C150">
        <v>11.4</v>
      </c>
      <c r="D150">
        <v>2</v>
      </c>
      <c r="E150" s="10">
        <f t="shared" si="2"/>
        <v>-7.4053267651262786E-2</v>
      </c>
    </row>
    <row r="151" spans="1:5" x14ac:dyDescent="0.3">
      <c r="A151" t="s">
        <v>152</v>
      </c>
      <c r="B151" t="s">
        <v>642</v>
      </c>
      <c r="C151">
        <v>8.4</v>
      </c>
      <c r="D151">
        <v>3</v>
      </c>
      <c r="E151" s="10">
        <f t="shared" si="2"/>
        <v>-2.3421769103730625</v>
      </c>
    </row>
    <row r="152" spans="1:5" x14ac:dyDescent="0.3">
      <c r="A152" t="s">
        <v>153</v>
      </c>
      <c r="B152" t="s">
        <v>643</v>
      </c>
      <c r="C152">
        <v>12</v>
      </c>
      <c r="D152">
        <v>2</v>
      </c>
      <c r="E152" s="10">
        <f t="shared" si="2"/>
        <v>0.37957146089309685</v>
      </c>
    </row>
    <row r="153" spans="1:5" x14ac:dyDescent="0.3">
      <c r="A153" t="s">
        <v>154</v>
      </c>
      <c r="B153" t="s">
        <v>643</v>
      </c>
      <c r="C153">
        <v>11.2</v>
      </c>
      <c r="D153">
        <v>1</v>
      </c>
      <c r="E153" s="10">
        <f t="shared" si="2"/>
        <v>-0.22526151049938356</v>
      </c>
    </row>
    <row r="154" spans="1:5" x14ac:dyDescent="0.3">
      <c r="A154" t="s">
        <v>155</v>
      </c>
      <c r="B154" t="s">
        <v>643</v>
      </c>
      <c r="C154">
        <v>10.1</v>
      </c>
      <c r="D154">
        <v>1</v>
      </c>
      <c r="E154" s="10">
        <f t="shared" si="2"/>
        <v>-1.0569068461640432</v>
      </c>
    </row>
    <row r="155" spans="1:5" x14ac:dyDescent="0.3">
      <c r="A155" t="s">
        <v>156</v>
      </c>
      <c r="B155" t="s">
        <v>642</v>
      </c>
      <c r="C155">
        <v>7.9</v>
      </c>
      <c r="D155">
        <v>3</v>
      </c>
      <c r="E155" s="10">
        <f t="shared" si="2"/>
        <v>-2.7201975174933621</v>
      </c>
    </row>
    <row r="156" spans="1:5" x14ac:dyDescent="0.3">
      <c r="A156" t="s">
        <v>157</v>
      </c>
      <c r="B156" t="s">
        <v>642</v>
      </c>
      <c r="C156">
        <v>9.1999999999999993</v>
      </c>
      <c r="D156">
        <v>3</v>
      </c>
      <c r="E156" s="10">
        <f t="shared" si="2"/>
        <v>-1.7373439389805834</v>
      </c>
    </row>
    <row r="157" spans="1:5" x14ac:dyDescent="0.3">
      <c r="A157" t="s">
        <v>158</v>
      </c>
      <c r="B157" t="s">
        <v>643</v>
      </c>
      <c r="C157">
        <v>10.7</v>
      </c>
      <c r="D157">
        <v>2</v>
      </c>
      <c r="E157" s="10">
        <f t="shared" si="2"/>
        <v>-0.60328211761968353</v>
      </c>
    </row>
    <row r="158" spans="1:5" x14ac:dyDescent="0.3">
      <c r="A158" t="s">
        <v>159</v>
      </c>
      <c r="B158" t="s">
        <v>643</v>
      </c>
      <c r="C158">
        <v>8.4</v>
      </c>
      <c r="D158">
        <v>4</v>
      </c>
      <c r="E158" s="10">
        <f t="shared" si="2"/>
        <v>-2.3421769103730625</v>
      </c>
    </row>
    <row r="159" spans="1:5" x14ac:dyDescent="0.3">
      <c r="A159" t="s">
        <v>160</v>
      </c>
      <c r="B159" t="s">
        <v>642</v>
      </c>
      <c r="C159">
        <v>12.2</v>
      </c>
      <c r="D159">
        <v>4</v>
      </c>
      <c r="E159" s="10">
        <f t="shared" si="2"/>
        <v>0.5307797037412163</v>
      </c>
    </row>
    <row r="160" spans="1:5" x14ac:dyDescent="0.3">
      <c r="A160" t="s">
        <v>161</v>
      </c>
      <c r="B160" t="s">
        <v>643</v>
      </c>
      <c r="C160">
        <v>11.4</v>
      </c>
      <c r="D160">
        <v>2</v>
      </c>
      <c r="E160" s="10">
        <f t="shared" si="2"/>
        <v>-7.4053267651262786E-2</v>
      </c>
    </row>
    <row r="161" spans="1:5" x14ac:dyDescent="0.3">
      <c r="A161" t="s">
        <v>162</v>
      </c>
      <c r="B161" t="s">
        <v>642</v>
      </c>
      <c r="C161">
        <v>13.1</v>
      </c>
      <c r="D161">
        <v>3</v>
      </c>
      <c r="E161" s="10">
        <f t="shared" si="2"/>
        <v>1.2112167965577565</v>
      </c>
    </row>
    <row r="162" spans="1:5" x14ac:dyDescent="0.3">
      <c r="A162" t="s">
        <v>163</v>
      </c>
      <c r="B162" t="s">
        <v>643</v>
      </c>
      <c r="C162">
        <v>10.3</v>
      </c>
      <c r="D162">
        <v>1</v>
      </c>
      <c r="E162" s="10">
        <f t="shared" si="2"/>
        <v>-0.90569860331592233</v>
      </c>
    </row>
    <row r="163" spans="1:5" x14ac:dyDescent="0.3">
      <c r="A163" t="s">
        <v>164</v>
      </c>
      <c r="B163" t="s">
        <v>643</v>
      </c>
      <c r="C163">
        <v>10.9</v>
      </c>
      <c r="D163">
        <v>1</v>
      </c>
      <c r="E163" s="10">
        <f t="shared" si="2"/>
        <v>-0.45207387477156274</v>
      </c>
    </row>
    <row r="164" spans="1:5" x14ac:dyDescent="0.3">
      <c r="A164" t="s">
        <v>165</v>
      </c>
      <c r="B164" t="s">
        <v>643</v>
      </c>
      <c r="C164">
        <v>12.5</v>
      </c>
      <c r="D164">
        <v>2</v>
      </c>
      <c r="E164" s="10">
        <f t="shared" si="2"/>
        <v>0.75759206801339674</v>
      </c>
    </row>
    <row r="165" spans="1:5" x14ac:dyDescent="0.3">
      <c r="A165" t="s">
        <v>166</v>
      </c>
      <c r="B165" t="s">
        <v>643</v>
      </c>
      <c r="C165">
        <v>11.8</v>
      </c>
      <c r="D165">
        <v>2</v>
      </c>
      <c r="E165" s="10">
        <f t="shared" si="2"/>
        <v>0.22836321804497742</v>
      </c>
    </row>
    <row r="166" spans="1:5" x14ac:dyDescent="0.3">
      <c r="A166" t="s">
        <v>167</v>
      </c>
      <c r="B166" t="s">
        <v>643</v>
      </c>
      <c r="C166">
        <v>10</v>
      </c>
      <c r="D166">
        <v>3</v>
      </c>
      <c r="E166" s="10">
        <f t="shared" si="2"/>
        <v>-1.1325109675881029</v>
      </c>
    </row>
    <row r="167" spans="1:5" x14ac:dyDescent="0.3">
      <c r="A167" t="s">
        <v>168</v>
      </c>
      <c r="B167" t="s">
        <v>643</v>
      </c>
      <c r="C167">
        <v>11.4</v>
      </c>
      <c r="D167">
        <v>4</v>
      </c>
      <c r="E167" s="10">
        <f t="shared" si="2"/>
        <v>-7.4053267651262786E-2</v>
      </c>
    </row>
    <row r="168" spans="1:5" x14ac:dyDescent="0.3">
      <c r="A168" t="s">
        <v>169</v>
      </c>
      <c r="B168" t="s">
        <v>643</v>
      </c>
      <c r="C168">
        <v>12.5</v>
      </c>
      <c r="D168">
        <v>2</v>
      </c>
      <c r="E168" s="10">
        <f t="shared" si="2"/>
        <v>0.75759206801339674</v>
      </c>
    </row>
    <row r="169" spans="1:5" x14ac:dyDescent="0.3">
      <c r="A169" t="s">
        <v>170</v>
      </c>
      <c r="B169" t="s">
        <v>642</v>
      </c>
      <c r="C169">
        <v>12</v>
      </c>
      <c r="D169">
        <v>1</v>
      </c>
      <c r="E169" s="10">
        <f t="shared" si="2"/>
        <v>0.37957146089309685</v>
      </c>
    </row>
    <row r="170" spans="1:5" x14ac:dyDescent="0.3">
      <c r="A170" t="s">
        <v>171</v>
      </c>
      <c r="B170" t="s">
        <v>643</v>
      </c>
      <c r="C170">
        <v>10.5</v>
      </c>
      <c r="D170">
        <v>2</v>
      </c>
      <c r="E170" s="10">
        <f t="shared" si="2"/>
        <v>-0.75449036046780293</v>
      </c>
    </row>
    <row r="171" spans="1:5" x14ac:dyDescent="0.3">
      <c r="A171" t="s">
        <v>172</v>
      </c>
      <c r="B171" t="s">
        <v>643</v>
      </c>
      <c r="C171">
        <v>13.4</v>
      </c>
      <c r="D171">
        <v>2</v>
      </c>
      <c r="E171" s="10">
        <f t="shared" si="2"/>
        <v>1.4380291608299369</v>
      </c>
    </row>
    <row r="172" spans="1:5" x14ac:dyDescent="0.3">
      <c r="A172" t="s">
        <v>173</v>
      </c>
      <c r="B172" t="s">
        <v>643</v>
      </c>
      <c r="C172">
        <v>13.4</v>
      </c>
      <c r="D172">
        <v>2</v>
      </c>
      <c r="E172" s="10">
        <f t="shared" si="2"/>
        <v>1.4380291608299369</v>
      </c>
    </row>
    <row r="173" spans="1:5" x14ac:dyDescent="0.3">
      <c r="A173" t="s">
        <v>174</v>
      </c>
      <c r="B173" t="s">
        <v>643</v>
      </c>
      <c r="C173">
        <v>10</v>
      </c>
      <c r="D173">
        <v>2</v>
      </c>
      <c r="E173" s="10">
        <f t="shared" si="2"/>
        <v>-1.1325109675881029</v>
      </c>
    </row>
    <row r="174" spans="1:5" x14ac:dyDescent="0.3">
      <c r="A174" t="s">
        <v>175</v>
      </c>
      <c r="B174" t="s">
        <v>643</v>
      </c>
      <c r="C174">
        <v>12.3</v>
      </c>
      <c r="D174">
        <v>2</v>
      </c>
      <c r="E174" s="10">
        <f t="shared" si="2"/>
        <v>0.60638382516527733</v>
      </c>
    </row>
    <row r="175" spans="1:5" x14ac:dyDescent="0.3">
      <c r="A175" t="s">
        <v>176</v>
      </c>
      <c r="B175" t="s">
        <v>643</v>
      </c>
      <c r="C175">
        <v>13.2</v>
      </c>
      <c r="D175">
        <v>2</v>
      </c>
      <c r="E175" s="10">
        <f t="shared" si="2"/>
        <v>1.2868209179818162</v>
      </c>
    </row>
    <row r="176" spans="1:5" x14ac:dyDescent="0.3">
      <c r="A176" t="s">
        <v>177</v>
      </c>
      <c r="B176" t="s">
        <v>643</v>
      </c>
      <c r="C176">
        <v>9.3000000000000007</v>
      </c>
      <c r="D176">
        <v>2</v>
      </c>
      <c r="E176" s="10">
        <f t="shared" si="2"/>
        <v>-1.6617398175565221</v>
      </c>
    </row>
    <row r="177" spans="1:5" x14ac:dyDescent="0.3">
      <c r="A177" t="s">
        <v>178</v>
      </c>
      <c r="B177" t="s">
        <v>642</v>
      </c>
      <c r="C177">
        <v>12.4</v>
      </c>
      <c r="D177">
        <v>1</v>
      </c>
      <c r="E177" s="10">
        <f t="shared" si="2"/>
        <v>0.68198794658933704</v>
      </c>
    </row>
    <row r="178" spans="1:5" x14ac:dyDescent="0.3">
      <c r="A178" t="s">
        <v>179</v>
      </c>
      <c r="B178" t="s">
        <v>643</v>
      </c>
      <c r="C178">
        <v>10.9</v>
      </c>
      <c r="D178">
        <v>2</v>
      </c>
      <c r="E178" s="10">
        <f t="shared" si="2"/>
        <v>-0.45207387477156274</v>
      </c>
    </row>
    <row r="179" spans="1:5" x14ac:dyDescent="0.3">
      <c r="A179" t="s">
        <v>180</v>
      </c>
      <c r="B179" t="s">
        <v>642</v>
      </c>
      <c r="C179">
        <v>9.1</v>
      </c>
      <c r="D179">
        <v>1</v>
      </c>
      <c r="E179" s="10">
        <f t="shared" si="2"/>
        <v>-1.8129480604046431</v>
      </c>
    </row>
    <row r="180" spans="1:5" x14ac:dyDescent="0.3">
      <c r="A180" t="s">
        <v>181</v>
      </c>
      <c r="B180" t="s">
        <v>642</v>
      </c>
      <c r="C180">
        <v>9.8000000000000007</v>
      </c>
      <c r="D180">
        <v>1</v>
      </c>
      <c r="E180" s="10">
        <f t="shared" si="2"/>
        <v>-1.2837192104362223</v>
      </c>
    </row>
    <row r="181" spans="1:5" x14ac:dyDescent="0.3">
      <c r="A181" t="s">
        <v>182</v>
      </c>
      <c r="B181" t="s">
        <v>643</v>
      </c>
      <c r="C181">
        <v>11.1</v>
      </c>
      <c r="D181">
        <v>1</v>
      </c>
      <c r="E181" s="10">
        <f t="shared" si="2"/>
        <v>-0.30086563192344329</v>
      </c>
    </row>
    <row r="182" spans="1:5" x14ac:dyDescent="0.3">
      <c r="A182" t="s">
        <v>183</v>
      </c>
      <c r="B182" t="s">
        <v>643</v>
      </c>
      <c r="C182">
        <v>11.3</v>
      </c>
      <c r="D182">
        <v>2</v>
      </c>
      <c r="E182" s="10">
        <f t="shared" si="2"/>
        <v>-0.1496573890753225</v>
      </c>
    </row>
    <row r="183" spans="1:5" x14ac:dyDescent="0.3">
      <c r="A183" t="s">
        <v>184</v>
      </c>
      <c r="B183" t="s">
        <v>642</v>
      </c>
      <c r="C183">
        <v>13.8</v>
      </c>
      <c r="D183">
        <v>1</v>
      </c>
      <c r="E183" s="10">
        <f t="shared" si="2"/>
        <v>1.7404456465261771</v>
      </c>
    </row>
    <row r="184" spans="1:5" x14ac:dyDescent="0.3">
      <c r="A184" t="s">
        <v>185</v>
      </c>
      <c r="B184" t="s">
        <v>643</v>
      </c>
      <c r="C184">
        <v>10.9</v>
      </c>
      <c r="D184">
        <v>2</v>
      </c>
      <c r="E184" s="10">
        <f t="shared" si="2"/>
        <v>-0.45207387477156274</v>
      </c>
    </row>
    <row r="185" spans="1:5" x14ac:dyDescent="0.3">
      <c r="A185" t="s">
        <v>186</v>
      </c>
      <c r="B185" t="s">
        <v>642</v>
      </c>
      <c r="C185">
        <v>13</v>
      </c>
      <c r="D185">
        <v>1</v>
      </c>
      <c r="E185" s="10">
        <f t="shared" si="2"/>
        <v>1.1356126751336968</v>
      </c>
    </row>
    <row r="186" spans="1:5" x14ac:dyDescent="0.3">
      <c r="A186" t="s">
        <v>187</v>
      </c>
      <c r="B186" t="s">
        <v>643</v>
      </c>
      <c r="C186">
        <v>13.8</v>
      </c>
      <c r="D186">
        <v>1</v>
      </c>
      <c r="E186" s="10">
        <f t="shared" si="2"/>
        <v>1.7404456465261771</v>
      </c>
    </row>
    <row r="187" spans="1:5" x14ac:dyDescent="0.3">
      <c r="A187" t="s">
        <v>188</v>
      </c>
      <c r="B187" t="s">
        <v>643</v>
      </c>
      <c r="C187">
        <v>10.9</v>
      </c>
      <c r="D187">
        <v>2</v>
      </c>
      <c r="E187" s="10">
        <f t="shared" si="2"/>
        <v>-0.45207387477156274</v>
      </c>
    </row>
    <row r="188" spans="1:5" x14ac:dyDescent="0.3">
      <c r="A188" t="s">
        <v>189</v>
      </c>
      <c r="B188" t="s">
        <v>643</v>
      </c>
      <c r="C188">
        <v>11.3</v>
      </c>
      <c r="D188">
        <v>2</v>
      </c>
      <c r="E188" s="10">
        <f t="shared" si="2"/>
        <v>-0.1496573890753225</v>
      </c>
    </row>
    <row r="189" spans="1:5" x14ac:dyDescent="0.3">
      <c r="A189" t="s">
        <v>190</v>
      </c>
      <c r="B189" t="s">
        <v>643</v>
      </c>
      <c r="C189">
        <v>12.1</v>
      </c>
      <c r="D189">
        <v>2</v>
      </c>
      <c r="E189" s="10">
        <f t="shared" si="2"/>
        <v>0.45517558231715655</v>
      </c>
    </row>
    <row r="190" spans="1:5" x14ac:dyDescent="0.3">
      <c r="A190" t="s">
        <v>191</v>
      </c>
      <c r="B190" t="s">
        <v>643</v>
      </c>
      <c r="C190">
        <v>12.5</v>
      </c>
      <c r="D190">
        <v>2</v>
      </c>
      <c r="E190" s="10">
        <f t="shared" si="2"/>
        <v>0.75759206801339674</v>
      </c>
    </row>
    <row r="191" spans="1:5" x14ac:dyDescent="0.3">
      <c r="A191" t="s">
        <v>192</v>
      </c>
      <c r="B191" t="s">
        <v>642</v>
      </c>
      <c r="C191">
        <v>9.4</v>
      </c>
      <c r="D191">
        <v>1</v>
      </c>
      <c r="E191" s="10">
        <f t="shared" si="2"/>
        <v>-1.5861356961324624</v>
      </c>
    </row>
    <row r="192" spans="1:5" x14ac:dyDescent="0.3">
      <c r="A192" t="s">
        <v>193</v>
      </c>
      <c r="B192" t="s">
        <v>643</v>
      </c>
      <c r="C192">
        <v>9</v>
      </c>
      <c r="D192">
        <v>1</v>
      </c>
      <c r="E192" s="10">
        <f t="shared" si="2"/>
        <v>-1.8885521818287028</v>
      </c>
    </row>
    <row r="193" spans="1:5" x14ac:dyDescent="0.3">
      <c r="A193" t="s">
        <v>194</v>
      </c>
      <c r="B193" t="s">
        <v>643</v>
      </c>
      <c r="C193">
        <v>9.4</v>
      </c>
      <c r="D193">
        <v>1</v>
      </c>
      <c r="E193" s="10">
        <f t="shared" si="2"/>
        <v>-1.5861356961324624</v>
      </c>
    </row>
    <row r="194" spans="1:5" x14ac:dyDescent="0.3">
      <c r="A194" t="s">
        <v>195</v>
      </c>
      <c r="B194" t="s">
        <v>643</v>
      </c>
      <c r="C194">
        <v>10.1</v>
      </c>
      <c r="D194">
        <v>2</v>
      </c>
      <c r="E194" s="10">
        <f t="shared" si="2"/>
        <v>-1.0569068461640432</v>
      </c>
    </row>
    <row r="195" spans="1:5" x14ac:dyDescent="0.3">
      <c r="A195" t="s">
        <v>196</v>
      </c>
      <c r="B195" t="s">
        <v>643</v>
      </c>
      <c r="C195">
        <v>11.6</v>
      </c>
      <c r="D195">
        <v>1</v>
      </c>
      <c r="E195" s="10">
        <f t="shared" ref="E195:E196" si="3">STANDARDIZE(C195, AVERAGE($C$2:$C$242), _xlfn.STDEV.S($C$2:$C$242))</f>
        <v>7.7154975196856643E-2</v>
      </c>
    </row>
    <row r="196" spans="1:5" x14ac:dyDescent="0.3">
      <c r="A196" t="s">
        <v>197</v>
      </c>
      <c r="B196" t="s">
        <v>643</v>
      </c>
      <c r="C196">
        <v>9.6</v>
      </c>
      <c r="D196">
        <v>2</v>
      </c>
      <c r="E196" s="10">
        <f t="shared" si="3"/>
        <v>-1.434927453284343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A22" workbookViewId="0">
      <selection activeCell="J30" sqref="J30:K34"/>
    </sheetView>
  </sheetViews>
  <sheetFormatPr defaultRowHeight="14.4" x14ac:dyDescent="0.3"/>
  <cols>
    <col min="1" max="1" width="21.6640625" bestFit="1" customWidth="1"/>
    <col min="2" max="2" width="24.109375" bestFit="1" customWidth="1"/>
    <col min="3" max="3" width="9.77734375" customWidth="1"/>
    <col min="4" max="4" width="11.77734375" bestFit="1" customWidth="1"/>
    <col min="5" max="5" width="11.77734375" customWidth="1"/>
    <col min="6" max="6" width="22.109375" style="8" customWidth="1"/>
    <col min="7" max="7" width="27.77734375" customWidth="1"/>
    <col min="8" max="8" width="10.44140625" customWidth="1"/>
  </cols>
  <sheetData>
    <row r="1" spans="1:11" ht="15.6" x14ac:dyDescent="0.3">
      <c r="A1" s="2" t="s">
        <v>636</v>
      </c>
      <c r="B1" s="2" t="s">
        <v>0</v>
      </c>
      <c r="C1" s="2" t="s">
        <v>1</v>
      </c>
      <c r="D1" s="2" t="s">
        <v>2</v>
      </c>
      <c r="E1" s="4" t="s">
        <v>652</v>
      </c>
    </row>
    <row r="2" spans="1:11" ht="21" x14ac:dyDescent="0.4">
      <c r="A2" t="s">
        <v>534</v>
      </c>
      <c r="B2" t="s">
        <v>643</v>
      </c>
      <c r="C2">
        <v>13.3</v>
      </c>
      <c r="D2">
        <v>3</v>
      </c>
      <c r="E2" s="10">
        <f>STANDARDIZE(C2, AVERAGE($C$2:$C$242), _xlfn.STDEV.S($C$2:$C$242))</f>
        <v>0.40109987741917946</v>
      </c>
      <c r="G2" s="5" t="s">
        <v>640</v>
      </c>
    </row>
    <row r="3" spans="1:11" x14ac:dyDescent="0.3">
      <c r="A3" t="s">
        <v>535</v>
      </c>
      <c r="B3" t="s">
        <v>642</v>
      </c>
      <c r="C3">
        <v>12.5</v>
      </c>
      <c r="D3">
        <v>2</v>
      </c>
      <c r="E3" s="10">
        <f t="shared" ref="E3:E66" si="0">STANDARDIZE(C3, AVERAGE($C$2:$C$242), _xlfn.STDEV.S($C$2:$C$242))</f>
        <v>-0.30580617004096888</v>
      </c>
    </row>
    <row r="4" spans="1:11" ht="18" x14ac:dyDescent="0.35">
      <c r="A4" t="s">
        <v>536</v>
      </c>
      <c r="B4" t="s">
        <v>642</v>
      </c>
      <c r="C4">
        <v>13.2</v>
      </c>
      <c r="D4">
        <v>2</v>
      </c>
      <c r="E4" s="10">
        <f t="shared" si="0"/>
        <v>0.31273662148665976</v>
      </c>
      <c r="G4" s="3" t="s">
        <v>641</v>
      </c>
    </row>
    <row r="5" spans="1:11" ht="18" x14ac:dyDescent="0.35">
      <c r="A5" t="s">
        <v>537</v>
      </c>
      <c r="B5" t="s">
        <v>642</v>
      </c>
      <c r="C5">
        <v>12.1</v>
      </c>
      <c r="D5">
        <v>1</v>
      </c>
      <c r="E5" s="10">
        <f t="shared" si="0"/>
        <v>-0.65925919377104314</v>
      </c>
      <c r="F5" s="11"/>
      <c r="G5" s="3" t="s">
        <v>642</v>
      </c>
      <c r="H5" s="3" t="s">
        <v>638</v>
      </c>
      <c r="J5" s="1" t="s">
        <v>661</v>
      </c>
      <c r="K5" s="6">
        <f>H9-G9</f>
        <v>4.7552447552449806E-2</v>
      </c>
    </row>
    <row r="6" spans="1:11" ht="18" x14ac:dyDescent="0.35">
      <c r="A6" t="s">
        <v>538</v>
      </c>
      <c r="B6" t="s">
        <v>642</v>
      </c>
      <c r="C6">
        <v>12.3</v>
      </c>
      <c r="D6">
        <v>1</v>
      </c>
      <c r="E6" s="10">
        <f t="shared" si="0"/>
        <v>-0.48253268190600523</v>
      </c>
      <c r="F6" s="3" t="s">
        <v>639</v>
      </c>
      <c r="G6" s="9">
        <f>COUNTIFS(B2:B245, "SOC", D2:D245, "=1")</f>
        <v>13</v>
      </c>
      <c r="H6" s="9">
        <f>COUNTIFS(B2:B245,"LAMP", D2:D245,"=1")</f>
        <v>11</v>
      </c>
      <c r="J6" s="1" t="s">
        <v>663</v>
      </c>
      <c r="K6" s="1">
        <f>SQRT(G11/G6+H11/H6)</f>
        <v>0.51302628315024978</v>
      </c>
    </row>
    <row r="7" spans="1:11" ht="18" x14ac:dyDescent="0.35">
      <c r="A7" t="s">
        <v>539</v>
      </c>
      <c r="B7" t="s">
        <v>643</v>
      </c>
      <c r="C7">
        <v>14.3</v>
      </c>
      <c r="D7">
        <v>3</v>
      </c>
      <c r="E7" s="10">
        <f t="shared" si="0"/>
        <v>1.2847324367443642</v>
      </c>
      <c r="F7" s="3" t="s">
        <v>644</v>
      </c>
      <c r="G7" s="9">
        <f>COUNTIFS(B2:B245, "SOC", D2:D245, "=1", C2:C245, "&lt;11")</f>
        <v>1</v>
      </c>
      <c r="H7" s="9">
        <f>COUNTIFS(B2:B245,"LAMP", D2:D245, "=1", C2:C245, "&lt;11")</f>
        <v>0</v>
      </c>
      <c r="J7" s="1" t="s">
        <v>665</v>
      </c>
      <c r="K7" s="1">
        <f>(K5-0)/K6</f>
        <v>9.2690080633789168E-2</v>
      </c>
    </row>
    <row r="8" spans="1:11" ht="18" x14ac:dyDescent="0.35">
      <c r="A8" t="s">
        <v>540</v>
      </c>
      <c r="B8" t="s">
        <v>643</v>
      </c>
      <c r="C8">
        <v>14.5</v>
      </c>
      <c r="D8">
        <v>4</v>
      </c>
      <c r="E8" s="10">
        <f t="shared" si="0"/>
        <v>1.4614589486094005</v>
      </c>
      <c r="F8" s="3" t="s">
        <v>645</v>
      </c>
      <c r="G8" s="12">
        <f>G7/G6*100</f>
        <v>7.6923076923076925</v>
      </c>
      <c r="H8" s="12">
        <f>H7/G6*100</f>
        <v>0</v>
      </c>
      <c r="J8" s="1" t="s">
        <v>667</v>
      </c>
      <c r="K8" s="1">
        <f>G6-1</f>
        <v>12</v>
      </c>
    </row>
    <row r="9" spans="1:11" ht="18" x14ac:dyDescent="0.35">
      <c r="A9" t="s">
        <v>541</v>
      </c>
      <c r="B9" t="s">
        <v>643</v>
      </c>
      <c r="C9">
        <v>14.2</v>
      </c>
      <c r="D9">
        <v>3</v>
      </c>
      <c r="E9" s="10">
        <f t="shared" si="0"/>
        <v>1.1963691808118444</v>
      </c>
      <c r="F9" s="3" t="s">
        <v>646</v>
      </c>
      <c r="G9" s="12">
        <f>AVERAGEIFS(C2:C245, B2:B245,"SOC", D2:D245, "=1")</f>
        <v>12.661538461538461</v>
      </c>
      <c r="H9" s="12">
        <f>AVERAGEIFS(C2:C245, B2:B245,"LAMP", D2:D245, "=1")</f>
        <v>12.709090909090911</v>
      </c>
      <c r="J9" s="1" t="s">
        <v>669</v>
      </c>
      <c r="K9" s="1">
        <f>_xlfn.T.DIST(K7,K8,TRUE)</f>
        <v>0.53616036290572733</v>
      </c>
    </row>
    <row r="10" spans="1:11" ht="18" x14ac:dyDescent="0.35">
      <c r="A10" t="s">
        <v>542</v>
      </c>
      <c r="B10" t="s">
        <v>643</v>
      </c>
      <c r="C10">
        <v>13.1</v>
      </c>
      <c r="D10">
        <v>3</v>
      </c>
      <c r="E10" s="10">
        <f t="shared" si="0"/>
        <v>0.22437336555414159</v>
      </c>
      <c r="F10" s="3" t="s">
        <v>647</v>
      </c>
      <c r="G10" s="12">
        <f t="array" ref="G10">_xlfn.STDEV.S(IF(IF($B$2:B$245="SOC",$C$2:$C$245),IF($D$2:$D$245=1,$C$2:$C$245)))</f>
        <v>1.1608462872250154</v>
      </c>
      <c r="H10" s="12">
        <f t="array" ref="H10">_xlfn.STDEV.S(IF(IF($B$2:B$245="LAMP",$C$2:$C$245),IF($D$2:$D$245=1,$C$2:$C$245)))</f>
        <v>1.324729818079555</v>
      </c>
    </row>
    <row r="11" spans="1:11" ht="18" x14ac:dyDescent="0.35">
      <c r="A11" t="s">
        <v>543</v>
      </c>
      <c r="B11" t="s">
        <v>642</v>
      </c>
      <c r="C11">
        <v>12.8</v>
      </c>
      <c r="D11">
        <v>2</v>
      </c>
      <c r="E11" s="10">
        <f t="shared" si="0"/>
        <v>-4.0716402243412872E-2</v>
      </c>
      <c r="F11" s="3" t="s">
        <v>653</v>
      </c>
      <c r="G11" s="7">
        <f t="array" ref="G11">_xlfn.VAR.S((IF(IF($B$2:B$245="SOC",$C$2:$C$245),IF($D$2:$D$245=1,$C$2:$C$245))))</f>
        <v>1.347564102564103</v>
      </c>
      <c r="H11" s="7">
        <f t="array" ref="H11">_xlfn.VAR.S((IF(IF($B$2:B$245="LAMP",$C$2:$C$245),IF($D$2:$D$245=1,$C$2:$C$245))))</f>
        <v>1.754909090909091</v>
      </c>
    </row>
    <row r="12" spans="1:11" ht="18" x14ac:dyDescent="0.35">
      <c r="A12" t="s">
        <v>544</v>
      </c>
      <c r="B12" t="s">
        <v>643</v>
      </c>
      <c r="C12">
        <v>11.8</v>
      </c>
      <c r="D12">
        <v>6</v>
      </c>
      <c r="E12" s="10">
        <f t="shared" si="0"/>
        <v>-0.92434896156859758</v>
      </c>
      <c r="F12" s="11"/>
      <c r="G12" s="13"/>
      <c r="H12" s="13"/>
    </row>
    <row r="13" spans="1:11" ht="18" x14ac:dyDescent="0.35">
      <c r="A13" t="s">
        <v>545</v>
      </c>
      <c r="B13" t="s">
        <v>643</v>
      </c>
      <c r="C13">
        <v>12.1</v>
      </c>
      <c r="D13">
        <v>3</v>
      </c>
      <c r="E13" s="10">
        <f t="shared" si="0"/>
        <v>-0.65925919377104314</v>
      </c>
      <c r="F13" s="11"/>
      <c r="G13" s="13"/>
      <c r="H13" s="13"/>
    </row>
    <row r="14" spans="1:11" ht="18" x14ac:dyDescent="0.35">
      <c r="A14" t="s">
        <v>546</v>
      </c>
      <c r="B14" t="s">
        <v>643</v>
      </c>
      <c r="C14">
        <v>15</v>
      </c>
      <c r="D14">
        <v>3</v>
      </c>
      <c r="E14" s="10">
        <f t="shared" si="0"/>
        <v>1.9032752282719929</v>
      </c>
      <c r="F14" s="11"/>
      <c r="G14" s="3" t="s">
        <v>637</v>
      </c>
      <c r="H14" s="13"/>
    </row>
    <row r="15" spans="1:11" ht="18" x14ac:dyDescent="0.35">
      <c r="A15" t="s">
        <v>547</v>
      </c>
      <c r="B15" t="s">
        <v>642</v>
      </c>
      <c r="C15">
        <v>11.9</v>
      </c>
      <c r="D15">
        <v>2</v>
      </c>
      <c r="E15" s="10">
        <f t="shared" si="0"/>
        <v>-0.83598570563607943</v>
      </c>
      <c r="F15" s="11"/>
      <c r="G15" s="3" t="s">
        <v>642</v>
      </c>
      <c r="H15" s="3" t="s">
        <v>638</v>
      </c>
    </row>
    <row r="16" spans="1:11" ht="18" x14ac:dyDescent="0.35">
      <c r="A16" t="s">
        <v>548</v>
      </c>
      <c r="B16" t="s">
        <v>642</v>
      </c>
      <c r="C16">
        <v>14.2</v>
      </c>
      <c r="D16">
        <v>2</v>
      </c>
      <c r="E16" s="10">
        <f t="shared" si="0"/>
        <v>1.1963691808118444</v>
      </c>
      <c r="F16" s="3" t="s">
        <v>639</v>
      </c>
      <c r="G16" s="9">
        <f>COUNTIFS(B12:B255, "SOC", D12:D255, "&lt;=2")</f>
        <v>24</v>
      </c>
      <c r="H16" s="9">
        <f>COUNTIFS(B12:B255,"LAMP", D12:D255,"&lt;=2")</f>
        <v>26</v>
      </c>
      <c r="J16" s="1" t="s">
        <v>661</v>
      </c>
      <c r="K16" s="6">
        <f>H19-G19</f>
        <v>-0.38012820512820511</v>
      </c>
    </row>
    <row r="17" spans="1:11" ht="18" x14ac:dyDescent="0.35">
      <c r="A17" t="s">
        <v>549</v>
      </c>
      <c r="B17" t="s">
        <v>642</v>
      </c>
      <c r="C17">
        <v>13.9</v>
      </c>
      <c r="D17">
        <v>2</v>
      </c>
      <c r="E17" s="10">
        <f t="shared" si="0"/>
        <v>0.93127941301428996</v>
      </c>
      <c r="F17" s="3" t="s">
        <v>644</v>
      </c>
      <c r="G17" s="9">
        <f>COUNTIFS(B2:B255, "SOC", D2:D255, "&gt;=2", C2:C255, "&lt;11")</f>
        <v>0</v>
      </c>
      <c r="H17" s="9">
        <f>COUNTIFS(B2:B255, "LAMP", D2:D255, "&gt;=2", C2:C255, "&lt;11")</f>
        <v>0</v>
      </c>
      <c r="J17" s="1" t="s">
        <v>663</v>
      </c>
      <c r="K17" s="1">
        <f>SQRT(G21/G16+H21/H16)</f>
        <v>0.31643113570861603</v>
      </c>
    </row>
    <row r="18" spans="1:11" ht="18" x14ac:dyDescent="0.35">
      <c r="A18" t="s">
        <v>550</v>
      </c>
      <c r="B18" t="s">
        <v>643</v>
      </c>
      <c r="C18">
        <v>14.1</v>
      </c>
      <c r="D18">
        <v>4</v>
      </c>
      <c r="E18" s="10">
        <f t="shared" si="0"/>
        <v>1.1080059248793264</v>
      </c>
      <c r="F18" s="3" t="s">
        <v>645</v>
      </c>
      <c r="G18" s="12">
        <f>G17/G16*100</f>
        <v>0</v>
      </c>
      <c r="H18" s="12">
        <f>H17/G16*100</f>
        <v>0</v>
      </c>
      <c r="J18" s="1" t="s">
        <v>665</v>
      </c>
      <c r="K18" s="1">
        <f>(K16-0)/K17</f>
        <v>-1.2012983623654665</v>
      </c>
    </row>
    <row r="19" spans="1:11" ht="18" x14ac:dyDescent="0.35">
      <c r="A19" t="s">
        <v>551</v>
      </c>
      <c r="B19" t="s">
        <v>642</v>
      </c>
      <c r="C19">
        <v>11.8</v>
      </c>
      <c r="D19">
        <v>1</v>
      </c>
      <c r="E19" s="10">
        <f t="shared" si="0"/>
        <v>-0.92434896156859758</v>
      </c>
      <c r="F19" s="3" t="s">
        <v>646</v>
      </c>
      <c r="G19" s="12">
        <f>AVERAGEIFS(C12:C255, B12:B255,"SOC", D12:D255, "&lt;=2")</f>
        <v>12.841666666666669</v>
      </c>
      <c r="H19" s="12">
        <f>AVERAGEIFS(C12:C255, B12:B255,"LAMP", D12:D255, "&lt;=2")</f>
        <v>12.461538461538463</v>
      </c>
      <c r="J19" s="1" t="s">
        <v>667</v>
      </c>
      <c r="K19" s="1">
        <f>G16-1</f>
        <v>23</v>
      </c>
    </row>
    <row r="20" spans="1:11" ht="18" x14ac:dyDescent="0.35">
      <c r="A20" t="s">
        <v>552</v>
      </c>
      <c r="B20" t="s">
        <v>643</v>
      </c>
      <c r="C20">
        <v>12.1</v>
      </c>
      <c r="D20">
        <v>1</v>
      </c>
      <c r="E20" s="10">
        <f t="shared" si="0"/>
        <v>-0.65925919377104314</v>
      </c>
      <c r="F20" s="3" t="s">
        <v>647</v>
      </c>
      <c r="G20" s="12">
        <f t="array" ref="G20">_xlfn.STDEV.S(IF(IF($B$2:B$245="SOC",$C$2:$C$245),IF($D$2:$D$245&lt;=2,$C$2:$C$245)))</f>
        <v>1.1503051640514137</v>
      </c>
      <c r="H20" s="12">
        <f t="array" ref="H20">_xlfn.STDEV.S(IF(IF($B$2:B$245="LAMP",$C$2:$C$245),IF($D$2:$D$245&lt;=2,$C$2:$C$245)))</f>
        <v>1.0667601454765772</v>
      </c>
      <c r="J20" s="1" t="s">
        <v>669</v>
      </c>
      <c r="K20" s="1">
        <f>_xlfn.T.DIST(K18,K19,TRUE)</f>
        <v>0.12093020476379898</v>
      </c>
    </row>
    <row r="21" spans="1:11" ht="15.6" x14ac:dyDescent="0.3">
      <c r="A21" t="s">
        <v>553</v>
      </c>
      <c r="B21" t="s">
        <v>642</v>
      </c>
      <c r="C21">
        <v>14.1</v>
      </c>
      <c r="D21">
        <v>2</v>
      </c>
      <c r="E21" s="10">
        <f t="shared" si="0"/>
        <v>1.1080059248793264</v>
      </c>
      <c r="F21" s="4" t="s">
        <v>653</v>
      </c>
      <c r="G21" s="7">
        <f t="array" ref="G21">_xlfn.VAR.S((IF(IF($B$2:B$245="SOC",$C$2:$C$245),IF($D$2:$D$245&gt;=2,$C$2:$C$245))))</f>
        <v>1.2200645161290324</v>
      </c>
      <c r="H21" s="7">
        <f t="array" ref="H21">_xlfn.VAR.S((IF(IF($B$2:B$400="LAMP",$C$2:$C$400),IF($D$2:$D$400&gt;=2,$C$2:$C$400))))</f>
        <v>1.2816086956521737</v>
      </c>
    </row>
    <row r="22" spans="1:11" ht="18" x14ac:dyDescent="0.35">
      <c r="A22" t="s">
        <v>554</v>
      </c>
      <c r="B22" t="s">
        <v>643</v>
      </c>
      <c r="C22">
        <v>11.8</v>
      </c>
      <c r="D22">
        <v>3</v>
      </c>
      <c r="E22" s="10">
        <f t="shared" si="0"/>
        <v>-0.92434896156859758</v>
      </c>
      <c r="F22" s="11"/>
      <c r="G22" s="13"/>
      <c r="H22" s="13"/>
    </row>
    <row r="23" spans="1:11" ht="18" x14ac:dyDescent="0.35">
      <c r="A23" t="s">
        <v>555</v>
      </c>
      <c r="B23" t="s">
        <v>642</v>
      </c>
      <c r="C23">
        <v>13.1</v>
      </c>
      <c r="D23">
        <v>2</v>
      </c>
      <c r="E23" s="10">
        <f t="shared" si="0"/>
        <v>0.22437336555414159</v>
      </c>
      <c r="F23" s="11"/>
      <c r="G23" s="13"/>
      <c r="H23" s="13"/>
    </row>
    <row r="24" spans="1:11" ht="18" x14ac:dyDescent="0.35">
      <c r="A24" t="s">
        <v>556</v>
      </c>
      <c r="B24" t="s">
        <v>642</v>
      </c>
      <c r="C24">
        <v>11.2</v>
      </c>
      <c r="D24">
        <v>2</v>
      </c>
      <c r="E24" s="10">
        <f t="shared" si="0"/>
        <v>-1.4545284971637096</v>
      </c>
      <c r="F24" s="11"/>
      <c r="G24" s="13"/>
      <c r="H24" s="13"/>
    </row>
    <row r="25" spans="1:11" ht="18" x14ac:dyDescent="0.35">
      <c r="A25" t="s">
        <v>557</v>
      </c>
      <c r="B25" t="s">
        <v>642</v>
      </c>
      <c r="C25">
        <v>11.6</v>
      </c>
      <c r="D25">
        <v>2</v>
      </c>
      <c r="E25" s="10">
        <f t="shared" si="0"/>
        <v>-1.1010754734336354</v>
      </c>
      <c r="F25" s="11"/>
      <c r="G25" s="13"/>
      <c r="H25" s="13"/>
    </row>
    <row r="26" spans="1:11" ht="18" x14ac:dyDescent="0.35">
      <c r="A26" t="s">
        <v>558</v>
      </c>
      <c r="B26" t="s">
        <v>643</v>
      </c>
      <c r="C26">
        <v>13.9</v>
      </c>
      <c r="D26">
        <v>1</v>
      </c>
      <c r="E26" s="10">
        <f t="shared" si="0"/>
        <v>0.93127941301428996</v>
      </c>
      <c r="F26" s="11"/>
      <c r="G26" s="13"/>
      <c r="H26" s="13"/>
    </row>
    <row r="27" spans="1:11" ht="18" x14ac:dyDescent="0.35">
      <c r="A27" t="s">
        <v>559</v>
      </c>
      <c r="B27" t="s">
        <v>643</v>
      </c>
      <c r="C27">
        <v>12.2</v>
      </c>
      <c r="D27">
        <v>1</v>
      </c>
      <c r="E27" s="10">
        <f t="shared" si="0"/>
        <v>-0.57089593783852499</v>
      </c>
      <c r="F27" s="11"/>
      <c r="G27" s="9" t="s">
        <v>649</v>
      </c>
      <c r="H27" s="13"/>
    </row>
    <row r="28" spans="1:11" ht="18" x14ac:dyDescent="0.35">
      <c r="A28" t="s">
        <v>560</v>
      </c>
      <c r="B28" t="s">
        <v>643</v>
      </c>
      <c r="C28">
        <v>11.7</v>
      </c>
      <c r="D28">
        <v>2</v>
      </c>
      <c r="E28" s="10">
        <f t="shared" si="0"/>
        <v>-1.0127122175011174</v>
      </c>
      <c r="F28" s="11"/>
      <c r="G28" s="13"/>
      <c r="H28" s="13"/>
    </row>
    <row r="29" spans="1:11" ht="18" x14ac:dyDescent="0.35">
      <c r="A29" t="s">
        <v>561</v>
      </c>
      <c r="B29" t="s">
        <v>643</v>
      </c>
      <c r="C29">
        <v>11.9</v>
      </c>
      <c r="D29">
        <v>2</v>
      </c>
      <c r="E29" s="10">
        <f t="shared" si="0"/>
        <v>-0.83598570563607943</v>
      </c>
      <c r="F29" s="11"/>
      <c r="G29" s="3" t="s">
        <v>642</v>
      </c>
      <c r="H29" s="3" t="s">
        <v>648</v>
      </c>
    </row>
    <row r="30" spans="1:11" ht="18" x14ac:dyDescent="0.35">
      <c r="A30" t="s">
        <v>562</v>
      </c>
      <c r="B30" t="s">
        <v>642</v>
      </c>
      <c r="C30">
        <v>11.2</v>
      </c>
      <c r="D30">
        <v>7</v>
      </c>
      <c r="E30" s="10">
        <f t="shared" si="0"/>
        <v>-1.4545284971637096</v>
      </c>
      <c r="F30" s="3" t="s">
        <v>639</v>
      </c>
      <c r="G30" s="9">
        <f>COUNTIFS(B2:B245,"SOC")</f>
        <v>44</v>
      </c>
      <c r="H30" s="9">
        <f>COUNTIFS(B2:B245,"LAMP")</f>
        <v>58</v>
      </c>
      <c r="J30" s="1" t="s">
        <v>661</v>
      </c>
      <c r="K30" s="6">
        <f>H33-G33</f>
        <v>-7.7019835510396817E-2</v>
      </c>
    </row>
    <row r="31" spans="1:11" ht="18" x14ac:dyDescent="0.35">
      <c r="A31" t="s">
        <v>563</v>
      </c>
      <c r="B31" t="s">
        <v>643</v>
      </c>
      <c r="C31">
        <v>12.3</v>
      </c>
      <c r="D31">
        <v>2</v>
      </c>
      <c r="E31" s="10">
        <f t="shared" si="0"/>
        <v>-0.48253268190600523</v>
      </c>
      <c r="F31" s="3" t="s">
        <v>644</v>
      </c>
      <c r="G31" s="9">
        <f>COUNTIFS(B12:B255, "SOC", C12:C255, "&lt;11")</f>
        <v>1</v>
      </c>
      <c r="H31" s="9">
        <f>COUNTIFS(B12:B255, "LAMP", C12:C255, "&lt;11")</f>
        <v>0</v>
      </c>
      <c r="J31" s="1" t="s">
        <v>663</v>
      </c>
      <c r="K31" s="1">
        <f>SQRT(G35/G30+H35/H30)</f>
        <v>0.22614342442133356</v>
      </c>
    </row>
    <row r="32" spans="1:11" ht="18" x14ac:dyDescent="0.35">
      <c r="A32" t="s">
        <v>564</v>
      </c>
      <c r="B32" t="s">
        <v>643</v>
      </c>
      <c r="C32">
        <v>11.1</v>
      </c>
      <c r="D32">
        <v>2</v>
      </c>
      <c r="E32" s="10">
        <f t="shared" si="0"/>
        <v>-1.5428917530962278</v>
      </c>
      <c r="F32" s="3" t="s">
        <v>645</v>
      </c>
      <c r="G32" s="12">
        <f>G31/G30*100</f>
        <v>2.2727272727272729</v>
      </c>
      <c r="H32" s="12">
        <f>H31/H30*100</f>
        <v>0</v>
      </c>
      <c r="J32" s="1" t="s">
        <v>665</v>
      </c>
      <c r="K32" s="1">
        <f>(K30-0)/K31</f>
        <v>-0.34057959327130027</v>
      </c>
    </row>
    <row r="33" spans="1:11" ht="18" x14ac:dyDescent="0.35">
      <c r="A33" t="s">
        <v>565</v>
      </c>
      <c r="B33" t="s">
        <v>642</v>
      </c>
      <c r="C33">
        <v>14.3</v>
      </c>
      <c r="D33">
        <v>3</v>
      </c>
      <c r="E33" s="10">
        <f t="shared" si="0"/>
        <v>1.2847324367443642</v>
      </c>
      <c r="F33" s="3" t="s">
        <v>646</v>
      </c>
      <c r="G33" s="12">
        <f>AVERAGEIFS(C12:C255, B12:B255,"SOC")</f>
        <v>12.848717948717949</v>
      </c>
      <c r="H33" s="12">
        <f>AVERAGEIFS(C12:C255, B12:B255,"LAMP")</f>
        <v>12.771698113207552</v>
      </c>
      <c r="J33" s="1" t="s">
        <v>667</v>
      </c>
      <c r="K33" s="1">
        <f>G30-1</f>
        <v>43</v>
      </c>
    </row>
    <row r="34" spans="1:11" ht="18" x14ac:dyDescent="0.35">
      <c r="A34" t="s">
        <v>566</v>
      </c>
      <c r="B34" t="s">
        <v>642</v>
      </c>
      <c r="C34">
        <v>11.5</v>
      </c>
      <c r="D34">
        <v>3</v>
      </c>
      <c r="E34" s="10">
        <f t="shared" si="0"/>
        <v>-1.1894387293661537</v>
      </c>
      <c r="F34" s="3" t="s">
        <v>647</v>
      </c>
      <c r="G34" s="12">
        <f t="array" ref="G34">_xlfn.STDEV.S(IF($B$2:B$245="SOC",$C$2:$C$245))</f>
        <v>1.1125651749443459</v>
      </c>
      <c r="H34" s="12">
        <f t="array" ref="H34">_xlfn.STDEV.S(IF($B$2:B$245="LAMP",$C$2:$C$245))</f>
        <v>1.1552151665662684</v>
      </c>
      <c r="J34" s="1" t="s">
        <v>669</v>
      </c>
      <c r="K34" s="1">
        <f>_xlfn.T.DIST(K32,K33,TRUE)</f>
        <v>0.36753923923780085</v>
      </c>
    </row>
    <row r="35" spans="1:11" ht="18" x14ac:dyDescent="0.35">
      <c r="A35" t="s">
        <v>567</v>
      </c>
      <c r="B35" t="s">
        <v>642</v>
      </c>
      <c r="C35">
        <v>11.9</v>
      </c>
      <c r="D35">
        <v>6</v>
      </c>
      <c r="E35" s="10">
        <f t="shared" si="0"/>
        <v>-0.83598570563607943</v>
      </c>
      <c r="F35" s="3" t="s">
        <v>653</v>
      </c>
      <c r="G35" s="7">
        <f t="array" ref="G35">_xlfn.VAR.S(IF($B$2:B$400="SOC",$C$2:$C$400))</f>
        <v>1.2378012684989432</v>
      </c>
      <c r="H35" s="7">
        <f t="array" ref="H35">_xlfn.VAR.S(IF($B$2:B$400="LAMP",$C$2:$C$400))</f>
        <v>1.3345220810647311</v>
      </c>
    </row>
    <row r="36" spans="1:11" ht="18" x14ac:dyDescent="0.35">
      <c r="A36" t="s">
        <v>568</v>
      </c>
      <c r="B36" t="s">
        <v>643</v>
      </c>
      <c r="C36">
        <v>12.1</v>
      </c>
      <c r="D36">
        <v>3</v>
      </c>
      <c r="E36" s="10">
        <f t="shared" si="0"/>
        <v>-0.65925919377104314</v>
      </c>
      <c r="F36" s="11"/>
      <c r="G36" s="13"/>
      <c r="H36" s="13"/>
    </row>
    <row r="37" spans="1:11" ht="18" x14ac:dyDescent="0.35">
      <c r="A37" t="s">
        <v>569</v>
      </c>
      <c r="B37" t="s">
        <v>642</v>
      </c>
      <c r="C37">
        <v>13.2</v>
      </c>
      <c r="D37">
        <v>3</v>
      </c>
      <c r="E37" s="10">
        <f t="shared" si="0"/>
        <v>0.31273662148665976</v>
      </c>
      <c r="F37" s="11"/>
      <c r="G37" s="13"/>
      <c r="H37" s="13"/>
    </row>
    <row r="38" spans="1:11" ht="18" x14ac:dyDescent="0.35">
      <c r="A38" t="s">
        <v>570</v>
      </c>
      <c r="B38" t="s">
        <v>642</v>
      </c>
      <c r="C38">
        <v>13.1</v>
      </c>
      <c r="D38">
        <v>3</v>
      </c>
      <c r="E38" s="10">
        <f t="shared" si="0"/>
        <v>0.22437336555414159</v>
      </c>
      <c r="F38" s="11"/>
      <c r="G38" s="13"/>
      <c r="H38" s="13"/>
    </row>
    <row r="39" spans="1:11" ht="18" x14ac:dyDescent="0.35">
      <c r="A39" t="s">
        <v>571</v>
      </c>
      <c r="B39" t="s">
        <v>643</v>
      </c>
      <c r="C39">
        <v>11</v>
      </c>
      <c r="D39">
        <v>5</v>
      </c>
      <c r="E39" s="10">
        <f t="shared" si="0"/>
        <v>-1.6312550090287459</v>
      </c>
      <c r="F39" s="11"/>
      <c r="G39" s="13"/>
      <c r="H39" s="13"/>
    </row>
    <row r="40" spans="1:11" ht="18" x14ac:dyDescent="0.35">
      <c r="A40" t="s">
        <v>572</v>
      </c>
      <c r="B40" t="s">
        <v>643</v>
      </c>
      <c r="C40">
        <v>13.4</v>
      </c>
      <c r="D40">
        <v>2</v>
      </c>
      <c r="E40" s="10">
        <f t="shared" si="0"/>
        <v>0.48946313335169761</v>
      </c>
      <c r="F40" s="11"/>
      <c r="G40" s="3" t="s">
        <v>650</v>
      </c>
      <c r="H40" s="13"/>
    </row>
    <row r="41" spans="1:11" ht="18" x14ac:dyDescent="0.35">
      <c r="A41" t="s">
        <v>573</v>
      </c>
      <c r="B41" t="s">
        <v>642</v>
      </c>
      <c r="C41">
        <v>14.8</v>
      </c>
      <c r="D41">
        <v>3</v>
      </c>
      <c r="E41" s="10">
        <f t="shared" si="0"/>
        <v>1.7265487164069564</v>
      </c>
      <c r="F41" s="11"/>
      <c r="G41" s="13"/>
      <c r="H41" s="13"/>
    </row>
    <row r="42" spans="1:11" ht="18" x14ac:dyDescent="0.35">
      <c r="A42" t="s">
        <v>574</v>
      </c>
      <c r="B42" t="s">
        <v>643</v>
      </c>
      <c r="C42">
        <v>13.5</v>
      </c>
      <c r="D42">
        <v>3</v>
      </c>
      <c r="E42" s="10">
        <f t="shared" si="0"/>
        <v>0.57782638928421581</v>
      </c>
      <c r="F42" s="3" t="s">
        <v>639</v>
      </c>
      <c r="G42" s="9">
        <v>103</v>
      </c>
      <c r="H42" s="13"/>
    </row>
    <row r="43" spans="1:11" ht="18" x14ac:dyDescent="0.35">
      <c r="A43" t="s">
        <v>575</v>
      </c>
      <c r="B43" t="s">
        <v>643</v>
      </c>
      <c r="C43">
        <v>11.6</v>
      </c>
      <c r="D43">
        <v>2</v>
      </c>
      <c r="E43" s="10">
        <f t="shared" si="0"/>
        <v>-1.1010754734336354</v>
      </c>
      <c r="F43" s="3" t="s">
        <v>646</v>
      </c>
      <c r="G43" s="12">
        <f>AVERAGE(C2:C200)</f>
        <v>12.846078431372547</v>
      </c>
      <c r="H43" s="13"/>
    </row>
    <row r="44" spans="1:11" ht="18" x14ac:dyDescent="0.35">
      <c r="A44" t="s">
        <v>576</v>
      </c>
      <c r="B44" t="s">
        <v>643</v>
      </c>
      <c r="C44">
        <v>12</v>
      </c>
      <c r="D44">
        <v>1</v>
      </c>
      <c r="E44" s="10">
        <f t="shared" si="0"/>
        <v>-0.74762244970356129</v>
      </c>
      <c r="F44" s="3" t="s">
        <v>651</v>
      </c>
      <c r="G44" s="12">
        <f>_xlfn.STDEV.S(C2:C200)</f>
        <v>1.1316921150615853</v>
      </c>
      <c r="H44" s="13"/>
    </row>
    <row r="45" spans="1:11" ht="18" x14ac:dyDescent="0.35">
      <c r="A45" t="s">
        <v>577</v>
      </c>
      <c r="B45" t="s">
        <v>643</v>
      </c>
      <c r="C45">
        <v>13.4</v>
      </c>
      <c r="D45">
        <v>4</v>
      </c>
      <c r="E45" s="10">
        <f t="shared" si="0"/>
        <v>0.48946313335169761</v>
      </c>
      <c r="F45" s="3" t="s">
        <v>644</v>
      </c>
      <c r="G45" s="9">
        <f>COUNTIFS( C2:C255, "&lt;11")</f>
        <v>1</v>
      </c>
      <c r="H45" s="13"/>
    </row>
    <row r="46" spans="1:11" ht="18" x14ac:dyDescent="0.35">
      <c r="A46" t="s">
        <v>578</v>
      </c>
      <c r="B46" t="s">
        <v>643</v>
      </c>
      <c r="C46">
        <v>12.1</v>
      </c>
      <c r="D46">
        <v>5</v>
      </c>
      <c r="E46" s="10">
        <f t="shared" si="0"/>
        <v>-0.65925919377104314</v>
      </c>
      <c r="F46" s="3" t="s">
        <v>645</v>
      </c>
      <c r="G46" s="12">
        <f>G45/G42*100</f>
        <v>0.97087378640776689</v>
      </c>
      <c r="H46" s="13"/>
    </row>
    <row r="47" spans="1:11" x14ac:dyDescent="0.3">
      <c r="A47" t="s">
        <v>579</v>
      </c>
      <c r="B47" t="s">
        <v>642</v>
      </c>
      <c r="C47">
        <v>11.4</v>
      </c>
      <c r="D47">
        <v>2</v>
      </c>
      <c r="E47" s="10">
        <f t="shared" si="0"/>
        <v>-1.2778019852986717</v>
      </c>
    </row>
    <row r="48" spans="1:11" x14ac:dyDescent="0.3">
      <c r="A48" t="s">
        <v>580</v>
      </c>
      <c r="B48" t="s">
        <v>642</v>
      </c>
      <c r="C48">
        <v>12.9</v>
      </c>
      <c r="D48">
        <v>4</v>
      </c>
      <c r="E48" s="10">
        <f t="shared" si="0"/>
        <v>4.7646853689105283E-2</v>
      </c>
    </row>
    <row r="49" spans="1:5" x14ac:dyDescent="0.3">
      <c r="A49" t="s">
        <v>581</v>
      </c>
      <c r="B49" t="s">
        <v>643</v>
      </c>
      <c r="C49">
        <v>12.2</v>
      </c>
      <c r="E49" s="10">
        <f t="shared" si="0"/>
        <v>-0.57089593783852499</v>
      </c>
    </row>
    <row r="50" spans="1:5" x14ac:dyDescent="0.3">
      <c r="A50" t="s">
        <v>582</v>
      </c>
      <c r="B50" t="s">
        <v>643</v>
      </c>
      <c r="C50">
        <v>11.1</v>
      </c>
      <c r="D50">
        <v>1</v>
      </c>
      <c r="E50" s="10">
        <f t="shared" si="0"/>
        <v>-1.5428917530962278</v>
      </c>
    </row>
    <row r="51" spans="1:5" x14ac:dyDescent="0.3">
      <c r="A51" t="s">
        <v>583</v>
      </c>
      <c r="B51" t="s">
        <v>642</v>
      </c>
      <c r="C51">
        <v>14.4</v>
      </c>
      <c r="D51">
        <v>2</v>
      </c>
      <c r="E51" s="10">
        <f t="shared" si="0"/>
        <v>1.3730956926768823</v>
      </c>
    </row>
    <row r="52" spans="1:5" x14ac:dyDescent="0.3">
      <c r="A52" t="s">
        <v>584</v>
      </c>
      <c r="B52" t="s">
        <v>643</v>
      </c>
      <c r="C52">
        <v>12.3</v>
      </c>
      <c r="D52">
        <v>2</v>
      </c>
      <c r="E52" s="10">
        <f t="shared" si="0"/>
        <v>-0.48253268190600523</v>
      </c>
    </row>
    <row r="53" spans="1:5" x14ac:dyDescent="0.3">
      <c r="A53" t="s">
        <v>585</v>
      </c>
      <c r="B53" t="s">
        <v>642</v>
      </c>
      <c r="C53">
        <v>14</v>
      </c>
      <c r="D53">
        <v>3</v>
      </c>
      <c r="E53" s="10">
        <f t="shared" si="0"/>
        <v>1.0196426689468081</v>
      </c>
    </row>
    <row r="54" spans="1:5" x14ac:dyDescent="0.3">
      <c r="A54" t="s">
        <v>586</v>
      </c>
      <c r="B54" t="s">
        <v>643</v>
      </c>
      <c r="C54">
        <v>13</v>
      </c>
      <c r="D54">
        <v>3</v>
      </c>
      <c r="E54" s="10">
        <f t="shared" si="0"/>
        <v>0.13601010962162344</v>
      </c>
    </row>
    <row r="55" spans="1:5" x14ac:dyDescent="0.3">
      <c r="A55" t="s">
        <v>587</v>
      </c>
      <c r="B55" t="s">
        <v>643</v>
      </c>
      <c r="C55">
        <v>12.6</v>
      </c>
      <c r="D55">
        <v>3</v>
      </c>
      <c r="E55" s="10">
        <f t="shared" si="0"/>
        <v>-0.21744291410845076</v>
      </c>
    </row>
    <row r="56" spans="1:5" x14ac:dyDescent="0.3">
      <c r="A56" t="s">
        <v>588</v>
      </c>
      <c r="B56" t="s">
        <v>642</v>
      </c>
      <c r="C56">
        <v>14.1</v>
      </c>
      <c r="D56">
        <v>1</v>
      </c>
      <c r="E56" s="10">
        <f t="shared" si="0"/>
        <v>1.1080059248793264</v>
      </c>
    </row>
    <row r="57" spans="1:5" x14ac:dyDescent="0.3">
      <c r="A57" t="s">
        <v>589</v>
      </c>
      <c r="B57" t="s">
        <v>642</v>
      </c>
      <c r="C57">
        <v>12</v>
      </c>
      <c r="D57">
        <v>4</v>
      </c>
      <c r="E57" s="10">
        <f t="shared" si="0"/>
        <v>-0.74762244970356129</v>
      </c>
    </row>
    <row r="58" spans="1:5" x14ac:dyDescent="0.3">
      <c r="A58" t="s">
        <v>590</v>
      </c>
      <c r="B58" t="s">
        <v>643</v>
      </c>
      <c r="C58">
        <v>12.7</v>
      </c>
      <c r="D58">
        <v>6</v>
      </c>
      <c r="E58" s="10">
        <f t="shared" si="0"/>
        <v>-0.12907965817593259</v>
      </c>
    </row>
    <row r="59" spans="1:5" x14ac:dyDescent="0.3">
      <c r="A59" t="s">
        <v>591</v>
      </c>
      <c r="B59" t="s">
        <v>642</v>
      </c>
      <c r="C59">
        <v>12</v>
      </c>
      <c r="D59">
        <v>1</v>
      </c>
      <c r="E59" s="10">
        <f t="shared" si="0"/>
        <v>-0.74762244970356129</v>
      </c>
    </row>
    <row r="60" spans="1:5" x14ac:dyDescent="0.3">
      <c r="A60" t="s">
        <v>592</v>
      </c>
      <c r="B60" t="s">
        <v>643</v>
      </c>
      <c r="C60">
        <v>11.3</v>
      </c>
      <c r="D60">
        <v>1</v>
      </c>
      <c r="E60" s="10">
        <f t="shared" si="0"/>
        <v>-1.36616524123119</v>
      </c>
    </row>
    <row r="61" spans="1:5" x14ac:dyDescent="0.3">
      <c r="A61" t="s">
        <v>593</v>
      </c>
      <c r="B61" t="s">
        <v>643</v>
      </c>
      <c r="C61">
        <v>14.1</v>
      </c>
      <c r="D61">
        <v>1</v>
      </c>
      <c r="E61" s="10">
        <f t="shared" si="0"/>
        <v>1.1080059248793264</v>
      </c>
    </row>
    <row r="62" spans="1:5" x14ac:dyDescent="0.3">
      <c r="A62" t="s">
        <v>594</v>
      </c>
      <c r="B62" t="s">
        <v>643</v>
      </c>
      <c r="C62">
        <v>12.1</v>
      </c>
      <c r="D62">
        <v>2</v>
      </c>
      <c r="E62" s="10">
        <f t="shared" si="0"/>
        <v>-0.65925919377104314</v>
      </c>
    </row>
    <row r="63" spans="1:5" x14ac:dyDescent="0.3">
      <c r="A63" t="s">
        <v>595</v>
      </c>
      <c r="B63" t="s">
        <v>643</v>
      </c>
      <c r="C63">
        <v>12</v>
      </c>
      <c r="D63">
        <v>1</v>
      </c>
      <c r="E63" s="10">
        <f t="shared" si="0"/>
        <v>-0.74762244970356129</v>
      </c>
    </row>
    <row r="64" spans="1:5" x14ac:dyDescent="0.3">
      <c r="A64" t="s">
        <v>596</v>
      </c>
      <c r="B64" t="s">
        <v>642</v>
      </c>
      <c r="C64">
        <v>11.9</v>
      </c>
      <c r="D64">
        <v>1</v>
      </c>
      <c r="E64" s="10">
        <f t="shared" si="0"/>
        <v>-0.83598570563607943</v>
      </c>
    </row>
    <row r="65" spans="1:5" x14ac:dyDescent="0.3">
      <c r="A65" t="s">
        <v>597</v>
      </c>
      <c r="B65" t="s">
        <v>642</v>
      </c>
      <c r="C65">
        <v>13.7</v>
      </c>
      <c r="D65">
        <v>2</v>
      </c>
      <c r="E65" s="10">
        <f t="shared" si="0"/>
        <v>0.75455290114925211</v>
      </c>
    </row>
    <row r="66" spans="1:5" x14ac:dyDescent="0.3">
      <c r="A66" t="s">
        <v>598</v>
      </c>
      <c r="B66" t="s">
        <v>643</v>
      </c>
      <c r="C66">
        <v>12.1</v>
      </c>
      <c r="D66">
        <v>5</v>
      </c>
      <c r="E66" s="10">
        <f t="shared" si="0"/>
        <v>-0.65925919377104314</v>
      </c>
    </row>
    <row r="67" spans="1:5" x14ac:dyDescent="0.3">
      <c r="A67" t="s">
        <v>599</v>
      </c>
      <c r="B67" t="s">
        <v>642</v>
      </c>
      <c r="C67">
        <v>13.4</v>
      </c>
      <c r="D67">
        <v>4</v>
      </c>
      <c r="E67" s="10">
        <f t="shared" ref="E67:E103" si="1">STANDARDIZE(C67, AVERAGE($C$2:$C$242), _xlfn.STDEV.S($C$2:$C$242))</f>
        <v>0.48946313335169761</v>
      </c>
    </row>
    <row r="68" spans="1:5" x14ac:dyDescent="0.3">
      <c r="A68" t="s">
        <v>600</v>
      </c>
      <c r="B68" t="s">
        <v>642</v>
      </c>
      <c r="C68">
        <v>13.8</v>
      </c>
      <c r="D68">
        <v>1</v>
      </c>
      <c r="E68" s="10">
        <f t="shared" si="1"/>
        <v>0.84291615708177181</v>
      </c>
    </row>
    <row r="69" spans="1:5" x14ac:dyDescent="0.3">
      <c r="A69" t="s">
        <v>601</v>
      </c>
      <c r="B69" t="s">
        <v>642</v>
      </c>
      <c r="C69">
        <v>14.6</v>
      </c>
      <c r="D69">
        <v>2</v>
      </c>
      <c r="E69" s="10">
        <f t="shared" si="1"/>
        <v>1.5498222045419185</v>
      </c>
    </row>
    <row r="70" spans="1:5" x14ac:dyDescent="0.3">
      <c r="A70" t="s">
        <v>602</v>
      </c>
      <c r="B70" t="s">
        <v>643</v>
      </c>
      <c r="C70">
        <v>13.1</v>
      </c>
      <c r="D70">
        <v>3</v>
      </c>
      <c r="E70" s="10">
        <f t="shared" si="1"/>
        <v>0.22437336555414159</v>
      </c>
    </row>
    <row r="71" spans="1:5" x14ac:dyDescent="0.3">
      <c r="A71" t="s">
        <v>603</v>
      </c>
      <c r="B71" t="s">
        <v>642</v>
      </c>
      <c r="C71">
        <v>11.4</v>
      </c>
      <c r="D71">
        <v>2</v>
      </c>
      <c r="E71" s="10">
        <f t="shared" si="1"/>
        <v>-1.2778019852986717</v>
      </c>
    </row>
    <row r="72" spans="1:5" x14ac:dyDescent="0.3">
      <c r="A72" t="s">
        <v>604</v>
      </c>
      <c r="B72" t="s">
        <v>643</v>
      </c>
      <c r="C72">
        <v>12.3</v>
      </c>
      <c r="D72">
        <v>2</v>
      </c>
      <c r="E72" s="10">
        <f t="shared" si="1"/>
        <v>-0.48253268190600523</v>
      </c>
    </row>
    <row r="73" spans="1:5" x14ac:dyDescent="0.3">
      <c r="A73" t="s">
        <v>605</v>
      </c>
      <c r="B73" t="s">
        <v>642</v>
      </c>
      <c r="C73">
        <v>12.8</v>
      </c>
      <c r="D73">
        <v>1</v>
      </c>
      <c r="E73" s="10">
        <f t="shared" si="1"/>
        <v>-4.0716402243412872E-2</v>
      </c>
    </row>
    <row r="74" spans="1:5" x14ac:dyDescent="0.3">
      <c r="A74" t="s">
        <v>606</v>
      </c>
      <c r="B74" t="s">
        <v>642</v>
      </c>
      <c r="C74">
        <v>10.199999999999999</v>
      </c>
      <c r="D74">
        <v>1</v>
      </c>
      <c r="E74" s="10">
        <f t="shared" si="1"/>
        <v>-2.3381610564888944</v>
      </c>
    </row>
    <row r="75" spans="1:5" x14ac:dyDescent="0.3">
      <c r="A75" t="s">
        <v>607</v>
      </c>
      <c r="B75" t="s">
        <v>643</v>
      </c>
      <c r="C75">
        <v>11.6</v>
      </c>
      <c r="D75">
        <v>2</v>
      </c>
      <c r="E75" s="10">
        <f t="shared" si="1"/>
        <v>-1.1010754734336354</v>
      </c>
    </row>
    <row r="76" spans="1:5" x14ac:dyDescent="0.3">
      <c r="A76" t="s">
        <v>608</v>
      </c>
      <c r="B76" t="s">
        <v>643</v>
      </c>
      <c r="C76">
        <v>14</v>
      </c>
      <c r="D76">
        <v>3</v>
      </c>
      <c r="E76" s="10">
        <f t="shared" si="1"/>
        <v>1.0196426689468081</v>
      </c>
    </row>
    <row r="77" spans="1:5" x14ac:dyDescent="0.3">
      <c r="A77" t="s">
        <v>609</v>
      </c>
      <c r="B77" t="s">
        <v>643</v>
      </c>
      <c r="C77">
        <v>12.9</v>
      </c>
      <c r="D77">
        <v>2</v>
      </c>
      <c r="E77" s="10">
        <f t="shared" si="1"/>
        <v>4.7646853689105283E-2</v>
      </c>
    </row>
    <row r="78" spans="1:5" x14ac:dyDescent="0.3">
      <c r="A78" t="s">
        <v>610</v>
      </c>
      <c r="B78" t="s">
        <v>642</v>
      </c>
      <c r="C78">
        <v>12.4</v>
      </c>
      <c r="D78">
        <v>1</v>
      </c>
      <c r="E78" s="10">
        <f t="shared" si="1"/>
        <v>-0.39416942597348709</v>
      </c>
    </row>
    <row r="79" spans="1:5" x14ac:dyDescent="0.3">
      <c r="A79" t="s">
        <v>611</v>
      </c>
      <c r="B79" t="s">
        <v>642</v>
      </c>
      <c r="C79">
        <v>12.6</v>
      </c>
      <c r="D79">
        <v>3</v>
      </c>
      <c r="E79" s="10">
        <f t="shared" si="1"/>
        <v>-0.21744291410845076</v>
      </c>
    </row>
    <row r="80" spans="1:5" x14ac:dyDescent="0.3">
      <c r="A80" t="s">
        <v>612</v>
      </c>
      <c r="B80" t="s">
        <v>643</v>
      </c>
      <c r="C80">
        <v>15.5</v>
      </c>
      <c r="D80">
        <v>1</v>
      </c>
      <c r="E80" s="10">
        <f t="shared" si="1"/>
        <v>2.3450915079345851</v>
      </c>
    </row>
    <row r="81" spans="1:5" x14ac:dyDescent="0.3">
      <c r="A81" t="s">
        <v>613</v>
      </c>
      <c r="B81" t="s">
        <v>643</v>
      </c>
      <c r="C81">
        <v>12.8</v>
      </c>
      <c r="D81">
        <v>5</v>
      </c>
      <c r="E81" s="10">
        <f t="shared" si="1"/>
        <v>-4.0716402243412872E-2</v>
      </c>
    </row>
    <row r="82" spans="1:5" x14ac:dyDescent="0.3">
      <c r="A82" t="s">
        <v>614</v>
      </c>
      <c r="B82" t="s">
        <v>643</v>
      </c>
      <c r="C82">
        <v>14.3</v>
      </c>
      <c r="D82">
        <v>3</v>
      </c>
      <c r="E82" s="10">
        <f t="shared" si="1"/>
        <v>1.2847324367443642</v>
      </c>
    </row>
    <row r="83" spans="1:5" x14ac:dyDescent="0.3">
      <c r="A83" t="s">
        <v>615</v>
      </c>
      <c r="B83" t="s">
        <v>642</v>
      </c>
      <c r="C83">
        <v>13.1</v>
      </c>
      <c r="D83">
        <v>3</v>
      </c>
      <c r="E83" s="10">
        <f t="shared" si="1"/>
        <v>0.22437336555414159</v>
      </c>
    </row>
    <row r="84" spans="1:5" x14ac:dyDescent="0.3">
      <c r="A84" t="s">
        <v>616</v>
      </c>
      <c r="B84" t="s">
        <v>643</v>
      </c>
      <c r="C84">
        <v>13.4</v>
      </c>
      <c r="D84">
        <v>2</v>
      </c>
      <c r="E84" s="10">
        <f t="shared" si="1"/>
        <v>0.48946313335169761</v>
      </c>
    </row>
    <row r="85" spans="1:5" x14ac:dyDescent="0.3">
      <c r="A85" t="s">
        <v>617</v>
      </c>
      <c r="B85" t="s">
        <v>643</v>
      </c>
      <c r="C85">
        <v>12.3</v>
      </c>
      <c r="D85">
        <v>2</v>
      </c>
      <c r="E85" s="10">
        <f t="shared" si="1"/>
        <v>-0.48253268190600523</v>
      </c>
    </row>
    <row r="86" spans="1:5" x14ac:dyDescent="0.3">
      <c r="A86" t="s">
        <v>618</v>
      </c>
      <c r="B86" t="s">
        <v>642</v>
      </c>
      <c r="C86">
        <v>13.6</v>
      </c>
      <c r="D86">
        <v>1</v>
      </c>
      <c r="E86" s="10">
        <f t="shared" si="1"/>
        <v>0.66618964521673396</v>
      </c>
    </row>
    <row r="87" spans="1:5" x14ac:dyDescent="0.3">
      <c r="A87" t="s">
        <v>619</v>
      </c>
      <c r="B87" t="s">
        <v>642</v>
      </c>
      <c r="C87">
        <v>13.1</v>
      </c>
      <c r="D87">
        <v>1</v>
      </c>
      <c r="E87" s="10">
        <f t="shared" si="1"/>
        <v>0.22437336555414159</v>
      </c>
    </row>
    <row r="88" spans="1:5" x14ac:dyDescent="0.3">
      <c r="A88" t="s">
        <v>620</v>
      </c>
      <c r="B88" t="s">
        <v>642</v>
      </c>
      <c r="C88">
        <v>12.5</v>
      </c>
      <c r="D88">
        <v>2</v>
      </c>
      <c r="E88" s="10">
        <f t="shared" si="1"/>
        <v>-0.30580617004096888</v>
      </c>
    </row>
    <row r="89" spans="1:5" x14ac:dyDescent="0.3">
      <c r="A89" t="s">
        <v>621</v>
      </c>
      <c r="B89" t="s">
        <v>643</v>
      </c>
      <c r="C89">
        <v>15.6</v>
      </c>
      <c r="D89">
        <v>5</v>
      </c>
      <c r="E89" s="10">
        <f t="shared" si="1"/>
        <v>2.4334547638671031</v>
      </c>
    </row>
    <row r="90" spans="1:5" x14ac:dyDescent="0.3">
      <c r="A90" t="s">
        <v>622</v>
      </c>
      <c r="B90" t="s">
        <v>643</v>
      </c>
      <c r="C90">
        <v>14.2</v>
      </c>
      <c r="D90">
        <v>2</v>
      </c>
      <c r="E90" s="10">
        <f t="shared" si="1"/>
        <v>1.1963691808118444</v>
      </c>
    </row>
    <row r="91" spans="1:5" x14ac:dyDescent="0.3">
      <c r="A91" t="s">
        <v>623</v>
      </c>
      <c r="B91" t="s">
        <v>642</v>
      </c>
      <c r="C91">
        <v>13.4</v>
      </c>
      <c r="D91">
        <v>5</v>
      </c>
      <c r="E91" s="10">
        <f t="shared" si="1"/>
        <v>0.48946313335169761</v>
      </c>
    </row>
    <row r="92" spans="1:5" x14ac:dyDescent="0.3">
      <c r="A92" t="s">
        <v>624</v>
      </c>
      <c r="B92" t="s">
        <v>643</v>
      </c>
      <c r="C92">
        <v>14</v>
      </c>
      <c r="D92">
        <v>3</v>
      </c>
      <c r="E92" s="10">
        <f t="shared" si="1"/>
        <v>1.0196426689468081</v>
      </c>
    </row>
    <row r="93" spans="1:5" x14ac:dyDescent="0.3">
      <c r="A93" t="s">
        <v>625</v>
      </c>
      <c r="B93" t="s">
        <v>643</v>
      </c>
      <c r="C93">
        <v>13.9</v>
      </c>
      <c r="D93">
        <v>3</v>
      </c>
      <c r="E93" s="10">
        <f t="shared" si="1"/>
        <v>0.93127941301428996</v>
      </c>
    </row>
    <row r="94" spans="1:5" x14ac:dyDescent="0.3">
      <c r="A94" t="s">
        <v>626</v>
      </c>
      <c r="B94" t="s">
        <v>643</v>
      </c>
      <c r="C94">
        <v>13.1</v>
      </c>
      <c r="D94">
        <v>1</v>
      </c>
      <c r="E94" s="10">
        <f t="shared" si="1"/>
        <v>0.22437336555414159</v>
      </c>
    </row>
    <row r="95" spans="1:5" x14ac:dyDescent="0.3">
      <c r="A95" t="s">
        <v>627</v>
      </c>
      <c r="B95" t="s">
        <v>642</v>
      </c>
      <c r="C95">
        <v>14.5</v>
      </c>
      <c r="D95">
        <v>1</v>
      </c>
      <c r="E95" s="10">
        <f t="shared" si="1"/>
        <v>1.4614589486094005</v>
      </c>
    </row>
    <row r="96" spans="1:5" x14ac:dyDescent="0.3">
      <c r="A96" t="s">
        <v>628</v>
      </c>
      <c r="B96" t="s">
        <v>642</v>
      </c>
      <c r="C96">
        <v>11.5</v>
      </c>
      <c r="D96">
        <v>5</v>
      </c>
      <c r="E96" s="10">
        <f t="shared" si="1"/>
        <v>-1.1894387293661537</v>
      </c>
    </row>
    <row r="97" spans="1:5" x14ac:dyDescent="0.3">
      <c r="A97" t="s">
        <v>629</v>
      </c>
      <c r="B97" t="s">
        <v>643</v>
      </c>
      <c r="C97">
        <v>13.7</v>
      </c>
      <c r="D97">
        <v>6</v>
      </c>
      <c r="E97" s="10">
        <f t="shared" si="1"/>
        <v>0.75455290114925211</v>
      </c>
    </row>
    <row r="98" spans="1:5" x14ac:dyDescent="0.3">
      <c r="A98" t="s">
        <v>630</v>
      </c>
      <c r="B98" t="s">
        <v>643</v>
      </c>
      <c r="C98">
        <v>12.9</v>
      </c>
      <c r="D98">
        <v>10</v>
      </c>
      <c r="E98" s="10">
        <f t="shared" si="1"/>
        <v>4.7646853689105283E-2</v>
      </c>
    </row>
    <row r="99" spans="1:5" x14ac:dyDescent="0.3">
      <c r="A99" t="s">
        <v>631</v>
      </c>
      <c r="B99" t="s">
        <v>643</v>
      </c>
      <c r="C99">
        <v>13.5</v>
      </c>
      <c r="D99">
        <v>12</v>
      </c>
      <c r="E99" s="10">
        <f t="shared" si="1"/>
        <v>0.57782638928421581</v>
      </c>
    </row>
    <row r="100" spans="1:5" x14ac:dyDescent="0.3">
      <c r="A100" t="s">
        <v>632</v>
      </c>
      <c r="B100" t="s">
        <v>643</v>
      </c>
      <c r="C100">
        <v>11.1</v>
      </c>
      <c r="D100">
        <v>2</v>
      </c>
      <c r="E100" s="10">
        <f t="shared" si="1"/>
        <v>-1.5428917530962278</v>
      </c>
    </row>
    <row r="101" spans="1:5" x14ac:dyDescent="0.3">
      <c r="A101" t="s">
        <v>633</v>
      </c>
      <c r="B101" t="s">
        <v>643</v>
      </c>
      <c r="C101">
        <v>11.1</v>
      </c>
      <c r="D101">
        <v>6</v>
      </c>
      <c r="E101" s="10">
        <f t="shared" si="1"/>
        <v>-1.5428917530962278</v>
      </c>
    </row>
    <row r="102" spans="1:5" x14ac:dyDescent="0.3">
      <c r="A102" t="s">
        <v>634</v>
      </c>
      <c r="B102" t="s">
        <v>643</v>
      </c>
      <c r="C102">
        <v>14.5</v>
      </c>
      <c r="D102">
        <v>3</v>
      </c>
      <c r="E102" s="10">
        <f t="shared" si="1"/>
        <v>1.4614589486094005</v>
      </c>
    </row>
    <row r="103" spans="1:5" x14ac:dyDescent="0.3">
      <c r="A103" t="s">
        <v>635</v>
      </c>
      <c r="B103" t="s">
        <v>643</v>
      </c>
      <c r="C103">
        <v>12.5</v>
      </c>
      <c r="D103">
        <v>1</v>
      </c>
      <c r="E103" s="10">
        <f t="shared" si="1"/>
        <v>-0.30580617004096888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5"/>
  <sheetViews>
    <sheetView topLeftCell="A20" workbookViewId="0">
      <selection activeCell="J30" sqref="J30:K34"/>
    </sheetView>
  </sheetViews>
  <sheetFormatPr defaultRowHeight="14.4" x14ac:dyDescent="0.3"/>
  <cols>
    <col min="1" max="1" width="21.6640625" bestFit="1" customWidth="1"/>
    <col min="2" max="2" width="24.109375" bestFit="1" customWidth="1"/>
    <col min="3" max="3" width="12.21875" customWidth="1"/>
    <col min="4" max="4" width="10.6640625" customWidth="1"/>
    <col min="5" max="5" width="12.109375" customWidth="1"/>
    <col min="6" max="6" width="23.5546875" style="8" customWidth="1"/>
    <col min="7" max="7" width="30.6640625" customWidth="1"/>
    <col min="8" max="8" width="12.77734375" customWidth="1"/>
  </cols>
  <sheetData>
    <row r="1" spans="1:11" ht="15.6" x14ac:dyDescent="0.3">
      <c r="A1" s="2" t="s">
        <v>636</v>
      </c>
      <c r="B1" s="2" t="s">
        <v>0</v>
      </c>
      <c r="C1" s="2" t="s">
        <v>1</v>
      </c>
      <c r="D1" s="2" t="s">
        <v>2</v>
      </c>
      <c r="E1" s="4" t="s">
        <v>652</v>
      </c>
    </row>
    <row r="2" spans="1:11" ht="21" x14ac:dyDescent="0.4">
      <c r="A2" t="s">
        <v>378</v>
      </c>
      <c r="B2" t="s">
        <v>643</v>
      </c>
      <c r="C2">
        <v>13.1</v>
      </c>
      <c r="D2">
        <v>3</v>
      </c>
      <c r="E2" s="10">
        <f>STANDARDIZE(C2, AVERAGE($C$2:$C$242), _xlfn.STDEV.S($C$2:$C$242))</f>
        <v>0.17721242310583077</v>
      </c>
      <c r="G2" s="5" t="s">
        <v>640</v>
      </c>
    </row>
    <row r="3" spans="1:11" x14ac:dyDescent="0.3">
      <c r="A3" t="s">
        <v>379</v>
      </c>
      <c r="B3" t="s">
        <v>643</v>
      </c>
      <c r="C3">
        <v>11.7</v>
      </c>
      <c r="D3">
        <v>3</v>
      </c>
      <c r="E3" s="10">
        <f t="shared" ref="E3:E66" si="0">STANDARDIZE(C3, AVERAGE($C$2:$C$242), _xlfn.STDEV.S($C$2:$C$242))</f>
        <v>-0.72816668641112003</v>
      </c>
    </row>
    <row r="4" spans="1:11" ht="18" x14ac:dyDescent="0.35">
      <c r="A4" t="s">
        <v>380</v>
      </c>
      <c r="B4" t="s">
        <v>642</v>
      </c>
      <c r="C4">
        <v>12.2</v>
      </c>
      <c r="D4">
        <v>3</v>
      </c>
      <c r="E4" s="10">
        <f t="shared" si="0"/>
        <v>-0.40481700444078056</v>
      </c>
      <c r="G4" s="3" t="s">
        <v>641</v>
      </c>
    </row>
    <row r="5" spans="1:11" ht="15.6" x14ac:dyDescent="0.3">
      <c r="A5" t="s">
        <v>381</v>
      </c>
      <c r="B5" t="s">
        <v>642</v>
      </c>
      <c r="C5">
        <v>15.4</v>
      </c>
      <c r="D5">
        <v>4</v>
      </c>
      <c r="E5" s="10">
        <f t="shared" si="0"/>
        <v>1.6646209601693929</v>
      </c>
      <c r="G5" s="4" t="s">
        <v>642</v>
      </c>
      <c r="H5" s="4" t="s">
        <v>638</v>
      </c>
      <c r="J5" s="1" t="s">
        <v>661</v>
      </c>
      <c r="K5" s="6">
        <f>H9-G9</f>
        <v>0.43636363636364095</v>
      </c>
    </row>
    <row r="6" spans="1:11" ht="18" x14ac:dyDescent="0.35">
      <c r="A6" t="s">
        <v>382</v>
      </c>
      <c r="B6" t="s">
        <v>643</v>
      </c>
      <c r="C6">
        <v>11</v>
      </c>
      <c r="D6">
        <v>1</v>
      </c>
      <c r="E6" s="10">
        <f t="shared" si="0"/>
        <v>-1.1808562411695949</v>
      </c>
      <c r="F6" s="3" t="s">
        <v>639</v>
      </c>
      <c r="G6" s="9">
        <f>COUNTIFS(B2:B245, "SOC", D2:D245, "=1")</f>
        <v>11</v>
      </c>
      <c r="H6" s="9">
        <f>COUNTIFS(B2:B245,"LAMP", D2:D245,"=1")</f>
        <v>55</v>
      </c>
      <c r="J6" s="1" t="s">
        <v>663</v>
      </c>
      <c r="K6" s="1">
        <f>SQRT(G11/G6+H11/H6)</f>
        <v>0.32070762745517467</v>
      </c>
    </row>
    <row r="7" spans="1:11" ht="18" x14ac:dyDescent="0.35">
      <c r="A7" t="s">
        <v>383</v>
      </c>
      <c r="B7" t="s">
        <v>642</v>
      </c>
      <c r="C7">
        <v>13</v>
      </c>
      <c r="D7">
        <v>1</v>
      </c>
      <c r="E7" s="10">
        <f t="shared" si="0"/>
        <v>0.1125424867117631</v>
      </c>
      <c r="F7" s="3" t="s">
        <v>644</v>
      </c>
      <c r="G7" s="9">
        <f>COUNTIFS(B2:B245, "SOC", D2:D245, "=1", C2:C245, "&lt;11")</f>
        <v>0</v>
      </c>
      <c r="H7" s="9">
        <f>COUNTIFS(B2:B245,"LAMP", D2:D245, "=1", C2:C245, "&lt;11")</f>
        <v>9</v>
      </c>
      <c r="J7" s="1" t="s">
        <v>665</v>
      </c>
      <c r="K7" s="1">
        <f>(K5-0)/K6</f>
        <v>1.3606275592077446</v>
      </c>
    </row>
    <row r="8" spans="1:11" ht="18" x14ac:dyDescent="0.35">
      <c r="A8" t="s">
        <v>384</v>
      </c>
      <c r="B8" t="s">
        <v>642</v>
      </c>
      <c r="C8">
        <v>12.7</v>
      </c>
      <c r="D8">
        <v>2</v>
      </c>
      <c r="E8" s="10">
        <f t="shared" si="0"/>
        <v>-8.1467322470441056E-2</v>
      </c>
      <c r="F8" s="3" t="s">
        <v>645</v>
      </c>
      <c r="G8" s="12">
        <f>G7/G6*100</f>
        <v>0</v>
      </c>
      <c r="H8" s="12">
        <f>H7/G6*100</f>
        <v>81.818181818181827</v>
      </c>
      <c r="J8" s="1" t="s">
        <v>667</v>
      </c>
      <c r="K8" s="1">
        <f>G6-1</f>
        <v>10</v>
      </c>
    </row>
    <row r="9" spans="1:11" ht="18" x14ac:dyDescent="0.35">
      <c r="A9" t="s">
        <v>385</v>
      </c>
      <c r="B9" t="s">
        <v>642</v>
      </c>
      <c r="C9">
        <v>13.8</v>
      </c>
      <c r="D9">
        <v>2</v>
      </c>
      <c r="E9" s="10">
        <f t="shared" si="0"/>
        <v>0.62990197786430679</v>
      </c>
      <c r="F9" s="3" t="s">
        <v>646</v>
      </c>
      <c r="G9" s="12">
        <f>AVERAGEIFS(C2:C245, B2:B245,"SOC", D2:D245, "=1")</f>
        <v>12.572727272727271</v>
      </c>
      <c r="H9" s="12">
        <f>AVERAGEIFS(C2:C245, B2:B245,"LAMP", D2:D245, "=1")</f>
        <v>13.009090909090911</v>
      </c>
      <c r="J9" s="1" t="s">
        <v>669</v>
      </c>
      <c r="K9" s="1">
        <f>_xlfn.T.DIST(K7,K8,TRUE)</f>
        <v>0.89824613798247233</v>
      </c>
    </row>
    <row r="10" spans="1:11" ht="18" x14ac:dyDescent="0.35">
      <c r="A10" t="s">
        <v>386</v>
      </c>
      <c r="B10" t="s">
        <v>642</v>
      </c>
      <c r="C10">
        <v>12.4</v>
      </c>
      <c r="D10">
        <v>2</v>
      </c>
      <c r="E10" s="10">
        <f t="shared" si="0"/>
        <v>-0.27547713165264404</v>
      </c>
      <c r="F10" s="3" t="s">
        <v>647</v>
      </c>
      <c r="G10" s="12">
        <f t="array" ref="G10">_xlfn.STDEV.S(IF(IF($B$2:B$245="SOC",$C$2:$C$245),IF($D$2:$D$245=1,$C$2:$C$245)))</f>
        <v>0.68423812973395315</v>
      </c>
      <c r="H10" s="12">
        <f t="array" ref="H10">_xlfn.STDEV.S(IF(IF($B$2:B$245="LAMP",$C$2:$C$245),IF($D$2:$D$245=1,$C$2:$C$245)))</f>
        <v>1.8209961383887945</v>
      </c>
    </row>
    <row r="11" spans="1:11" ht="18" x14ac:dyDescent="0.35">
      <c r="A11" t="s">
        <v>387</v>
      </c>
      <c r="B11" t="s">
        <v>643</v>
      </c>
      <c r="C11">
        <v>13.2</v>
      </c>
      <c r="D11">
        <v>3</v>
      </c>
      <c r="E11" s="10">
        <f t="shared" si="0"/>
        <v>0.24188235949989845</v>
      </c>
      <c r="F11" s="3" t="s">
        <v>653</v>
      </c>
      <c r="G11" s="7">
        <f t="array" ref="G11">_xlfn.VAR.S((IF(IF($B$2:B$245="SOC",$C$2:$C$245),IF($D$2:$D$245=1,$C$2:$C$245))))</f>
        <v>0.46818181818181809</v>
      </c>
      <c r="H11" s="7">
        <f t="array" ref="H11">_xlfn.VAR.S((IF(IF($B$2:B$245="LAMP",$C$2:$C$245),IF($D$2:$D$245=1,$C$2:$C$245))))</f>
        <v>3.3160269360269012</v>
      </c>
    </row>
    <row r="12" spans="1:11" x14ac:dyDescent="0.3">
      <c r="A12" t="s">
        <v>388</v>
      </c>
      <c r="B12" t="s">
        <v>642</v>
      </c>
      <c r="C12">
        <v>13</v>
      </c>
      <c r="D12">
        <v>1</v>
      </c>
      <c r="E12" s="10">
        <f t="shared" si="0"/>
        <v>0.1125424867117631</v>
      </c>
    </row>
    <row r="13" spans="1:11" x14ac:dyDescent="0.3">
      <c r="A13" t="s">
        <v>389</v>
      </c>
      <c r="B13" t="s">
        <v>642</v>
      </c>
      <c r="C13">
        <v>11.6</v>
      </c>
      <c r="D13">
        <v>1</v>
      </c>
      <c r="E13" s="10">
        <f t="shared" si="0"/>
        <v>-0.79283662280518774</v>
      </c>
    </row>
    <row r="14" spans="1:11" ht="18" x14ac:dyDescent="0.35">
      <c r="A14" t="s">
        <v>390</v>
      </c>
      <c r="B14" t="s">
        <v>642</v>
      </c>
      <c r="C14">
        <v>13.5</v>
      </c>
      <c r="D14">
        <v>1</v>
      </c>
      <c r="E14" s="10">
        <f t="shared" si="0"/>
        <v>0.43589216868210262</v>
      </c>
      <c r="G14" s="3" t="s">
        <v>637</v>
      </c>
    </row>
    <row r="15" spans="1:11" ht="18" x14ac:dyDescent="0.35">
      <c r="A15" t="s">
        <v>391</v>
      </c>
      <c r="B15" t="s">
        <v>643</v>
      </c>
      <c r="C15">
        <v>12.3</v>
      </c>
      <c r="D15">
        <v>3</v>
      </c>
      <c r="E15" s="10">
        <f t="shared" si="0"/>
        <v>-0.34014706804671174</v>
      </c>
      <c r="G15" s="3" t="s">
        <v>642</v>
      </c>
      <c r="H15" s="3" t="s">
        <v>638</v>
      </c>
    </row>
    <row r="16" spans="1:11" ht="18" x14ac:dyDescent="0.35">
      <c r="A16" t="s">
        <v>392</v>
      </c>
      <c r="B16" t="s">
        <v>643</v>
      </c>
      <c r="C16">
        <v>13.9</v>
      </c>
      <c r="D16">
        <v>3</v>
      </c>
      <c r="E16" s="10">
        <f t="shared" si="0"/>
        <v>0.69457191425837439</v>
      </c>
      <c r="F16" s="3" t="s">
        <v>639</v>
      </c>
      <c r="G16" s="9">
        <f>COUNTIFS(B12:B255, "SOC", D12:D255, "&lt;=2")</f>
        <v>27</v>
      </c>
      <c r="H16" s="9">
        <f>COUNTIFS(B12:B255,"LAMP", D12:D255,"&lt;=2")</f>
        <v>86</v>
      </c>
      <c r="J16" s="1" t="s">
        <v>661</v>
      </c>
      <c r="K16" s="6">
        <f>H19-G19</f>
        <v>4.6265938069215196E-2</v>
      </c>
    </row>
    <row r="17" spans="1:11" ht="18" x14ac:dyDescent="0.35">
      <c r="A17" t="s">
        <v>393</v>
      </c>
      <c r="B17" t="s">
        <v>643</v>
      </c>
      <c r="C17">
        <v>14.1</v>
      </c>
      <c r="D17">
        <v>3</v>
      </c>
      <c r="E17" s="10">
        <f t="shared" si="0"/>
        <v>0.8239117870465098</v>
      </c>
      <c r="F17" s="3" t="s">
        <v>644</v>
      </c>
      <c r="G17" s="9">
        <f>COUNTIFS(B2:B255, "SOC", D2:D255, "&gt;=2", C2:C255, "&lt;11")</f>
        <v>3</v>
      </c>
      <c r="H17" s="9">
        <f>COUNTIFS(B2:B255, "LAMP", D2:D255, "&gt;=2", C2:C255, "&lt;11")</f>
        <v>6</v>
      </c>
      <c r="J17" s="1" t="s">
        <v>663</v>
      </c>
      <c r="K17" s="1">
        <f>SQRT(G21/G16+H21/H16)</f>
        <v>0.33069169779781982</v>
      </c>
    </row>
    <row r="18" spans="1:11" ht="18" x14ac:dyDescent="0.35">
      <c r="A18" t="s">
        <v>394</v>
      </c>
      <c r="B18" t="s">
        <v>642</v>
      </c>
      <c r="C18">
        <v>13.2</v>
      </c>
      <c r="D18">
        <v>2</v>
      </c>
      <c r="E18" s="10">
        <f t="shared" si="0"/>
        <v>0.24188235949989845</v>
      </c>
      <c r="F18" s="3" t="s">
        <v>645</v>
      </c>
      <c r="G18" s="12">
        <f>G17/G16*100</f>
        <v>11.111111111111111</v>
      </c>
      <c r="H18" s="12">
        <f>H17/G16*100</f>
        <v>22.222222222222221</v>
      </c>
      <c r="J18" s="1" t="s">
        <v>665</v>
      </c>
      <c r="K18" s="1">
        <f>(K16-0)/K17</f>
        <v>0.13990656063431484</v>
      </c>
    </row>
    <row r="19" spans="1:11" ht="18" x14ac:dyDescent="0.35">
      <c r="A19" t="s">
        <v>395</v>
      </c>
      <c r="B19" t="s">
        <v>642</v>
      </c>
      <c r="C19">
        <v>11.8</v>
      </c>
      <c r="D19">
        <v>1</v>
      </c>
      <c r="E19" s="10">
        <f t="shared" si="0"/>
        <v>-0.66349675001705122</v>
      </c>
      <c r="F19" s="3" t="s">
        <v>646</v>
      </c>
      <c r="G19" s="12">
        <f t="array" ref="G19">AVERAGEIFS(C2:C255, B2:B255,"SOC", D2:D255, "&gt;=2")</f>
        <v>12.711111111111112</v>
      </c>
      <c r="H19" s="12">
        <f t="array" ref="H19">AVERAGEIFS(C2:C255, B2:B255,"LAMP", D2:D255, "&gt;=2")</f>
        <v>12.757377049180327</v>
      </c>
      <c r="J19" s="1" t="s">
        <v>667</v>
      </c>
      <c r="K19" s="1">
        <f>G16-1</f>
        <v>26</v>
      </c>
    </row>
    <row r="20" spans="1:11" ht="18" x14ac:dyDescent="0.35">
      <c r="A20" t="s">
        <v>396</v>
      </c>
      <c r="B20" t="s">
        <v>642</v>
      </c>
      <c r="C20">
        <v>12.1</v>
      </c>
      <c r="D20">
        <v>2</v>
      </c>
      <c r="E20" s="10">
        <f t="shared" si="0"/>
        <v>-0.46948694083484821</v>
      </c>
      <c r="F20" s="3" t="s">
        <v>647</v>
      </c>
      <c r="G20" s="12">
        <f t="array" ref="G20">_xlfn.STDEV.S(IF(IF($B$2:B$245="SOC",$C$2:$C$245),IF($D$2:$D$245&gt;=2,$C$2:$C$245)))</f>
        <v>1.527777000776801</v>
      </c>
      <c r="H20" s="12">
        <f t="array" ref="H20">_xlfn.STDEV.S(IF(IF($B$2:B$245="LAMP",$C$2:$C$245),IF($D$2:$D$245&gt;=2,$C$2:$C$245)))</f>
        <v>1.4036213896434375</v>
      </c>
      <c r="J20" s="1" t="s">
        <v>669</v>
      </c>
      <c r="K20" s="1">
        <f>_xlfn.T.DIST(K18,K19,TRUE)</f>
        <v>0.55509399866997189</v>
      </c>
    </row>
    <row r="21" spans="1:11" ht="15.6" x14ac:dyDescent="0.3">
      <c r="A21" t="s">
        <v>397</v>
      </c>
      <c r="B21" t="s">
        <v>643</v>
      </c>
      <c r="C21">
        <v>13.3</v>
      </c>
      <c r="D21">
        <v>4</v>
      </c>
      <c r="E21" s="10">
        <f t="shared" si="0"/>
        <v>0.30655229589396726</v>
      </c>
      <c r="F21" s="4" t="s">
        <v>653</v>
      </c>
      <c r="G21" s="7">
        <f t="array" ref="G21">_xlfn.VAR.S((IF(IF($B$2:B$245="SOC",$C$2:$C$245),IF($D$2:$D$245&gt;=2,$C$2:$C$245))))</f>
        <v>2.3341025641025577</v>
      </c>
      <c r="H21" s="7">
        <f t="array" ref="H21">_xlfn.VAR.S((IF(IF($B$2:B$400="LAMP",$C$2:$C$400),IF($D$2:$D$400&gt;=2,$C$2:$C$400))))</f>
        <v>1.9701530054645748</v>
      </c>
    </row>
    <row r="22" spans="1:11" x14ac:dyDescent="0.3">
      <c r="A22" t="s">
        <v>398</v>
      </c>
      <c r="B22" t="s">
        <v>642</v>
      </c>
      <c r="C22">
        <v>15</v>
      </c>
      <c r="D22">
        <v>2</v>
      </c>
      <c r="E22" s="10">
        <f t="shared" si="0"/>
        <v>1.4059412145931212</v>
      </c>
    </row>
    <row r="23" spans="1:11" x14ac:dyDescent="0.3">
      <c r="A23" t="s">
        <v>399</v>
      </c>
      <c r="B23" t="s">
        <v>642</v>
      </c>
      <c r="C23">
        <v>13.1</v>
      </c>
      <c r="D23">
        <v>1</v>
      </c>
      <c r="E23" s="10">
        <f t="shared" si="0"/>
        <v>0.17721242310583077</v>
      </c>
    </row>
    <row r="24" spans="1:11" x14ac:dyDescent="0.3">
      <c r="A24" t="s">
        <v>400</v>
      </c>
      <c r="B24" t="s">
        <v>642</v>
      </c>
      <c r="C24">
        <v>12.5</v>
      </c>
      <c r="D24">
        <v>1</v>
      </c>
      <c r="E24" s="10">
        <f t="shared" si="0"/>
        <v>-0.21080719525857639</v>
      </c>
    </row>
    <row r="25" spans="1:11" x14ac:dyDescent="0.3">
      <c r="A25" t="s">
        <v>401</v>
      </c>
      <c r="B25" t="s">
        <v>642</v>
      </c>
      <c r="C25">
        <v>11.6</v>
      </c>
      <c r="D25">
        <v>1</v>
      </c>
      <c r="E25" s="10">
        <f t="shared" si="0"/>
        <v>-0.79283662280518774</v>
      </c>
    </row>
    <row r="26" spans="1:11" x14ac:dyDescent="0.3">
      <c r="A26" t="s">
        <v>402</v>
      </c>
      <c r="B26" t="s">
        <v>642</v>
      </c>
      <c r="C26">
        <v>12.1</v>
      </c>
      <c r="D26">
        <v>1</v>
      </c>
      <c r="E26" s="10">
        <f t="shared" si="0"/>
        <v>-0.46948694083484821</v>
      </c>
    </row>
    <row r="27" spans="1:11" ht="18" x14ac:dyDescent="0.35">
      <c r="A27" t="s">
        <v>403</v>
      </c>
      <c r="B27" t="s">
        <v>642</v>
      </c>
      <c r="C27">
        <v>13.1</v>
      </c>
      <c r="D27">
        <v>1</v>
      </c>
      <c r="E27" s="10">
        <f t="shared" si="0"/>
        <v>0.17721242310583077</v>
      </c>
      <c r="G27" s="9" t="s">
        <v>649</v>
      </c>
    </row>
    <row r="28" spans="1:11" x14ac:dyDescent="0.3">
      <c r="A28" t="s">
        <v>404</v>
      </c>
      <c r="B28" t="s">
        <v>643</v>
      </c>
      <c r="C28">
        <v>15.9</v>
      </c>
      <c r="D28">
        <v>1</v>
      </c>
      <c r="E28" s="10">
        <f t="shared" si="0"/>
        <v>1.9879706421397323</v>
      </c>
    </row>
    <row r="29" spans="1:11" ht="18" x14ac:dyDescent="0.35">
      <c r="A29" t="s">
        <v>405</v>
      </c>
      <c r="B29" t="s">
        <v>643</v>
      </c>
      <c r="C29">
        <v>13.5</v>
      </c>
      <c r="D29">
        <v>2</v>
      </c>
      <c r="E29" s="10">
        <f t="shared" si="0"/>
        <v>0.43589216868210262</v>
      </c>
      <c r="G29" s="3" t="s">
        <v>642</v>
      </c>
      <c r="H29" s="3" t="s">
        <v>648</v>
      </c>
    </row>
    <row r="30" spans="1:11" ht="18" x14ac:dyDescent="0.35">
      <c r="A30" t="s">
        <v>406</v>
      </c>
      <c r="B30" t="s">
        <v>643</v>
      </c>
      <c r="C30">
        <v>13</v>
      </c>
      <c r="D30">
        <v>3</v>
      </c>
      <c r="E30" s="10">
        <f t="shared" si="0"/>
        <v>0.1125424867117631</v>
      </c>
      <c r="F30" s="3" t="s">
        <v>639</v>
      </c>
      <c r="G30" s="9">
        <f>COUNTIFS(B2:B245,"SOC")</f>
        <v>38</v>
      </c>
      <c r="H30" s="9">
        <f>COUNTIFS(B2:B245,"LAMP")</f>
        <v>116</v>
      </c>
      <c r="J30" s="1" t="s">
        <v>661</v>
      </c>
      <c r="K30" s="6">
        <f>H33-G33</f>
        <v>0.20567150635207554</v>
      </c>
    </row>
    <row r="31" spans="1:11" ht="18" x14ac:dyDescent="0.35">
      <c r="A31" t="s">
        <v>407</v>
      </c>
      <c r="B31" t="s">
        <v>643</v>
      </c>
      <c r="C31">
        <v>15.7</v>
      </c>
      <c r="D31">
        <v>3</v>
      </c>
      <c r="E31" s="10">
        <f t="shared" si="0"/>
        <v>1.858630769351596</v>
      </c>
      <c r="F31" s="3" t="s">
        <v>644</v>
      </c>
      <c r="G31" s="9">
        <f>COUNTIFS(B2:B255, "SOC", C2:C255, "&lt;11")</f>
        <v>3</v>
      </c>
      <c r="H31" s="9">
        <f>COUNTIFS(B2:B255, "LAMP", C2:C255, "&lt;11")</f>
        <v>15</v>
      </c>
      <c r="J31" s="1" t="s">
        <v>663</v>
      </c>
      <c r="K31" s="1">
        <f>SQRT(G35/G30+H35/H30)</f>
        <v>0.26271809995820777</v>
      </c>
    </row>
    <row r="32" spans="1:11" ht="18" x14ac:dyDescent="0.35">
      <c r="A32" t="s">
        <v>408</v>
      </c>
      <c r="B32" t="s">
        <v>643</v>
      </c>
      <c r="C32">
        <v>11.5</v>
      </c>
      <c r="D32">
        <v>2</v>
      </c>
      <c r="E32" s="10">
        <f t="shared" si="0"/>
        <v>-0.85750655919925534</v>
      </c>
      <c r="F32" s="3" t="s">
        <v>645</v>
      </c>
      <c r="G32" s="12">
        <f>G31/G30*100</f>
        <v>7.8947368421052628</v>
      </c>
      <c r="H32" s="12">
        <f>H31/H30*100</f>
        <v>12.931034482758621</v>
      </c>
      <c r="J32" s="1" t="s">
        <v>665</v>
      </c>
      <c r="K32" s="1">
        <f>(K30-0)/K31</f>
        <v>0.78286005564440742</v>
      </c>
    </row>
    <row r="33" spans="1:11" ht="18" x14ac:dyDescent="0.35">
      <c r="A33" t="s">
        <v>409</v>
      </c>
      <c r="B33" t="s">
        <v>643</v>
      </c>
      <c r="C33">
        <v>12.9</v>
      </c>
      <c r="D33">
        <v>2</v>
      </c>
      <c r="E33" s="10">
        <f t="shared" si="0"/>
        <v>4.7872550317695439E-2</v>
      </c>
      <c r="F33" s="3" t="s">
        <v>646</v>
      </c>
      <c r="G33" s="12">
        <f t="array" ref="G33">AVERAGEIFS(C2:C255, B2:B255,"SOC")</f>
        <v>12.671052631578949</v>
      </c>
      <c r="H33" s="12">
        <f>AVERAGEIFS(C2:C255, B2:B255,"LAMP")</f>
        <v>12.876724137931024</v>
      </c>
      <c r="J33" s="1" t="s">
        <v>667</v>
      </c>
      <c r="K33" s="1">
        <f>G30-1</f>
        <v>37</v>
      </c>
    </row>
    <row r="34" spans="1:11" ht="18" x14ac:dyDescent="0.35">
      <c r="A34" t="s">
        <v>410</v>
      </c>
      <c r="B34" t="s">
        <v>643</v>
      </c>
      <c r="C34">
        <v>15.1</v>
      </c>
      <c r="D34">
        <v>2</v>
      </c>
      <c r="E34" s="10">
        <f t="shared" si="0"/>
        <v>1.4706111509871886</v>
      </c>
      <c r="F34" s="3" t="s">
        <v>647</v>
      </c>
      <c r="G34" s="12">
        <f t="array" ref="G34">_xlfn.STDEV.S(IF($B$2:B$245="SOC",$C$2:$C$245))</f>
        <v>1.330699449230385</v>
      </c>
      <c r="H34" s="12">
        <f t="array" ref="H34">_xlfn.STDEV.S(IF($B$2:B$245="LAMP",$C$2:$C$245))</f>
        <v>1.6127404577637992</v>
      </c>
      <c r="J34" s="1" t="s">
        <v>669</v>
      </c>
      <c r="K34" s="1">
        <f>_xlfn.T.DIST(K32,K33,TRUE)</f>
        <v>0.78065426362838386</v>
      </c>
    </row>
    <row r="35" spans="1:11" ht="18" x14ac:dyDescent="0.35">
      <c r="A35" t="s">
        <v>411</v>
      </c>
      <c r="B35" t="s">
        <v>643</v>
      </c>
      <c r="C35">
        <v>11.9</v>
      </c>
      <c r="D35">
        <v>1</v>
      </c>
      <c r="E35" s="10">
        <f t="shared" si="0"/>
        <v>-0.59882681362298351</v>
      </c>
      <c r="F35" s="3" t="s">
        <v>653</v>
      </c>
      <c r="G35" s="7">
        <f t="array" ref="G35">_xlfn.VAR.S(IF($B$2:B$400="SOC",$C$2:$C$400))</f>
        <v>1.7707610241820499</v>
      </c>
      <c r="H35" s="7">
        <f t="array" ref="H35">_xlfn.VAR.S(IF($B$2:B$400="LAMP",$C$2:$C$400))</f>
        <v>2.6009317841081887</v>
      </c>
    </row>
    <row r="36" spans="1:11" x14ac:dyDescent="0.3">
      <c r="A36" t="s">
        <v>412</v>
      </c>
      <c r="B36" t="s">
        <v>643</v>
      </c>
      <c r="C36">
        <v>15.1</v>
      </c>
      <c r="D36">
        <v>1</v>
      </c>
      <c r="E36" s="10">
        <f t="shared" si="0"/>
        <v>1.4706111509871886</v>
      </c>
    </row>
    <row r="37" spans="1:11" x14ac:dyDescent="0.3">
      <c r="A37" t="s">
        <v>413</v>
      </c>
      <c r="B37" t="s">
        <v>643</v>
      </c>
      <c r="C37">
        <v>16.5</v>
      </c>
      <c r="D37">
        <v>1</v>
      </c>
      <c r="E37" s="10">
        <f t="shared" si="0"/>
        <v>2.3759902605041394</v>
      </c>
    </row>
    <row r="38" spans="1:11" x14ac:dyDescent="0.3">
      <c r="A38" t="s">
        <v>414</v>
      </c>
      <c r="B38" t="s">
        <v>642</v>
      </c>
      <c r="C38">
        <v>12.7</v>
      </c>
      <c r="D38">
        <v>2</v>
      </c>
      <c r="E38" s="10">
        <f t="shared" si="0"/>
        <v>-8.1467322470441056E-2</v>
      </c>
    </row>
    <row r="39" spans="1:11" x14ac:dyDescent="0.3">
      <c r="A39" t="s">
        <v>415</v>
      </c>
      <c r="B39" t="s">
        <v>643</v>
      </c>
      <c r="C39">
        <v>11.3</v>
      </c>
      <c r="D39">
        <v>3</v>
      </c>
      <c r="E39" s="10">
        <f t="shared" si="0"/>
        <v>-0.98684643198739075</v>
      </c>
    </row>
    <row r="40" spans="1:11" ht="18" x14ac:dyDescent="0.35">
      <c r="A40" t="s">
        <v>416</v>
      </c>
      <c r="B40" t="s">
        <v>643</v>
      </c>
      <c r="C40">
        <v>13.6</v>
      </c>
      <c r="D40">
        <v>1</v>
      </c>
      <c r="E40" s="10">
        <f t="shared" si="0"/>
        <v>0.50056210507617027</v>
      </c>
      <c r="G40" s="3" t="s">
        <v>650</v>
      </c>
    </row>
    <row r="41" spans="1:11" x14ac:dyDescent="0.3">
      <c r="A41" t="s">
        <v>417</v>
      </c>
      <c r="B41" t="s">
        <v>643</v>
      </c>
      <c r="C41">
        <v>12.9</v>
      </c>
      <c r="D41">
        <v>4</v>
      </c>
      <c r="E41" s="10">
        <f t="shared" si="0"/>
        <v>4.7872550317695439E-2</v>
      </c>
    </row>
    <row r="42" spans="1:11" ht="18" x14ac:dyDescent="0.35">
      <c r="A42" t="s">
        <v>418</v>
      </c>
      <c r="B42" t="s">
        <v>643</v>
      </c>
      <c r="C42">
        <v>12.4</v>
      </c>
      <c r="D42">
        <v>1</v>
      </c>
      <c r="E42" s="10">
        <f t="shared" si="0"/>
        <v>-0.27547713165264404</v>
      </c>
      <c r="F42" s="3" t="s">
        <v>639</v>
      </c>
      <c r="G42" s="9">
        <v>154</v>
      </c>
    </row>
    <row r="43" spans="1:11" ht="18" x14ac:dyDescent="0.35">
      <c r="A43" t="s">
        <v>419</v>
      </c>
      <c r="B43" t="s">
        <v>643</v>
      </c>
      <c r="C43">
        <v>14.1</v>
      </c>
      <c r="D43">
        <v>2</v>
      </c>
      <c r="E43" s="10">
        <f t="shared" si="0"/>
        <v>0.8239117870465098</v>
      </c>
      <c r="F43" s="3" t="s">
        <v>646</v>
      </c>
      <c r="G43" s="12">
        <f>AVERAGE(C2:C200)</f>
        <v>12.825974025974013</v>
      </c>
    </row>
    <row r="44" spans="1:11" ht="18" x14ac:dyDescent="0.35">
      <c r="A44" t="s">
        <v>420</v>
      </c>
      <c r="B44" t="s">
        <v>643</v>
      </c>
      <c r="C44">
        <v>14.8</v>
      </c>
      <c r="D44">
        <v>1</v>
      </c>
      <c r="E44" s="10">
        <f t="shared" si="0"/>
        <v>1.2766013418049857</v>
      </c>
      <c r="F44" s="3" t="s">
        <v>651</v>
      </c>
      <c r="G44" s="12">
        <f>_xlfn.STDEV.S(C2:C200)</f>
        <v>1.5463135666416534</v>
      </c>
    </row>
    <row r="45" spans="1:11" ht="18" x14ac:dyDescent="0.35">
      <c r="A45" t="s">
        <v>421</v>
      </c>
      <c r="B45" t="s">
        <v>643</v>
      </c>
      <c r="C45">
        <v>14.4</v>
      </c>
      <c r="D45">
        <v>2</v>
      </c>
      <c r="E45" s="10">
        <f t="shared" si="0"/>
        <v>1.0179215962287138</v>
      </c>
      <c r="F45" s="3" t="s">
        <v>644</v>
      </c>
      <c r="G45" s="9">
        <f>COUNTIFS( C2:C255, "&lt;11")</f>
        <v>18</v>
      </c>
    </row>
    <row r="46" spans="1:11" ht="18" x14ac:dyDescent="0.35">
      <c r="A46" t="s">
        <v>422</v>
      </c>
      <c r="B46" t="s">
        <v>643</v>
      </c>
      <c r="C46">
        <v>13.1</v>
      </c>
      <c r="D46">
        <v>1</v>
      </c>
      <c r="E46" s="10">
        <f t="shared" si="0"/>
        <v>0.17721242310583077</v>
      </c>
      <c r="F46" s="3" t="s">
        <v>645</v>
      </c>
      <c r="G46" s="12">
        <f>G45/G42*100</f>
        <v>11.688311688311687</v>
      </c>
    </row>
    <row r="47" spans="1:11" x14ac:dyDescent="0.3">
      <c r="A47" t="s">
        <v>423</v>
      </c>
      <c r="B47" t="s">
        <v>643</v>
      </c>
      <c r="C47">
        <v>12.9</v>
      </c>
      <c r="D47">
        <v>1</v>
      </c>
      <c r="E47" s="10">
        <f t="shared" si="0"/>
        <v>4.7872550317695439E-2</v>
      </c>
    </row>
    <row r="48" spans="1:11" x14ac:dyDescent="0.3">
      <c r="A48" t="s">
        <v>424</v>
      </c>
      <c r="B48" t="s">
        <v>643</v>
      </c>
      <c r="C48">
        <v>12.9</v>
      </c>
      <c r="D48">
        <v>2</v>
      </c>
      <c r="E48" s="10">
        <f t="shared" si="0"/>
        <v>4.7872550317695439E-2</v>
      </c>
    </row>
    <row r="49" spans="1:5" x14ac:dyDescent="0.3">
      <c r="A49" t="s">
        <v>425</v>
      </c>
      <c r="B49" t="s">
        <v>642</v>
      </c>
      <c r="C49">
        <v>14.3</v>
      </c>
      <c r="D49">
        <v>2</v>
      </c>
      <c r="E49" s="10">
        <f t="shared" si="0"/>
        <v>0.95325165983464621</v>
      </c>
    </row>
    <row r="50" spans="1:5" x14ac:dyDescent="0.3">
      <c r="A50" t="s">
        <v>426</v>
      </c>
      <c r="B50" t="s">
        <v>643</v>
      </c>
      <c r="C50">
        <v>13.1</v>
      </c>
      <c r="D50">
        <v>2</v>
      </c>
      <c r="E50" s="10">
        <f t="shared" si="0"/>
        <v>0.17721242310583077</v>
      </c>
    </row>
    <row r="51" spans="1:5" x14ac:dyDescent="0.3">
      <c r="A51" t="s">
        <v>427</v>
      </c>
      <c r="B51" t="s">
        <v>643</v>
      </c>
      <c r="C51">
        <v>12.1</v>
      </c>
      <c r="D51">
        <v>1</v>
      </c>
      <c r="E51" s="10">
        <f t="shared" si="0"/>
        <v>-0.46948694083484821</v>
      </c>
    </row>
    <row r="52" spans="1:5" x14ac:dyDescent="0.3">
      <c r="A52" t="s">
        <v>428</v>
      </c>
      <c r="B52" t="s">
        <v>642</v>
      </c>
      <c r="C52">
        <v>10.5</v>
      </c>
      <c r="D52">
        <v>2</v>
      </c>
      <c r="E52" s="10">
        <f t="shared" si="0"/>
        <v>-1.5042059231399343</v>
      </c>
    </row>
    <row r="53" spans="1:5" x14ac:dyDescent="0.3">
      <c r="A53" t="s">
        <v>429</v>
      </c>
      <c r="B53" t="s">
        <v>643</v>
      </c>
      <c r="C53">
        <v>13.8</v>
      </c>
      <c r="D53">
        <v>2</v>
      </c>
      <c r="E53" s="10">
        <f t="shared" si="0"/>
        <v>0.62990197786430679</v>
      </c>
    </row>
    <row r="54" spans="1:5" x14ac:dyDescent="0.3">
      <c r="A54" t="s">
        <v>430</v>
      </c>
      <c r="B54" t="s">
        <v>643</v>
      </c>
      <c r="C54">
        <v>10.8</v>
      </c>
      <c r="D54">
        <v>2</v>
      </c>
      <c r="E54" s="10">
        <f t="shared" si="0"/>
        <v>-1.3101961139577303</v>
      </c>
    </row>
    <row r="55" spans="1:5" x14ac:dyDescent="0.3">
      <c r="A55" t="s">
        <v>431</v>
      </c>
      <c r="B55" t="s">
        <v>642</v>
      </c>
      <c r="C55">
        <v>15.1</v>
      </c>
      <c r="D55">
        <v>2</v>
      </c>
      <c r="E55" s="10">
        <f t="shared" si="0"/>
        <v>1.4706111509871886</v>
      </c>
    </row>
    <row r="56" spans="1:5" x14ac:dyDescent="0.3">
      <c r="A56" t="s">
        <v>432</v>
      </c>
      <c r="B56" t="s">
        <v>643</v>
      </c>
      <c r="C56">
        <v>13.1</v>
      </c>
      <c r="D56">
        <v>1</v>
      </c>
      <c r="E56" s="10">
        <f t="shared" si="0"/>
        <v>0.17721242310583077</v>
      </c>
    </row>
    <row r="57" spans="1:5" x14ac:dyDescent="0.3">
      <c r="A57" t="s">
        <v>433</v>
      </c>
      <c r="B57" t="s">
        <v>643</v>
      </c>
      <c r="C57">
        <v>12</v>
      </c>
      <c r="D57">
        <v>1</v>
      </c>
      <c r="E57" s="10">
        <f t="shared" si="0"/>
        <v>-0.53415687722891592</v>
      </c>
    </row>
    <row r="58" spans="1:5" x14ac:dyDescent="0.3">
      <c r="A58" t="s">
        <v>434</v>
      </c>
      <c r="B58" t="s">
        <v>643</v>
      </c>
      <c r="C58">
        <v>12.2</v>
      </c>
      <c r="D58">
        <v>1</v>
      </c>
      <c r="E58" s="10">
        <f t="shared" si="0"/>
        <v>-0.40481700444078056</v>
      </c>
    </row>
    <row r="59" spans="1:5" x14ac:dyDescent="0.3">
      <c r="A59" t="s">
        <v>435</v>
      </c>
      <c r="B59" t="s">
        <v>643</v>
      </c>
      <c r="C59">
        <v>13.8</v>
      </c>
      <c r="D59">
        <v>1</v>
      </c>
      <c r="E59" s="10">
        <f t="shared" si="0"/>
        <v>0.62990197786430679</v>
      </c>
    </row>
    <row r="60" spans="1:5" x14ac:dyDescent="0.3">
      <c r="A60" t="s">
        <v>436</v>
      </c>
      <c r="B60" t="s">
        <v>643</v>
      </c>
      <c r="C60">
        <v>10.1</v>
      </c>
      <c r="D60">
        <v>1</v>
      </c>
      <c r="E60" s="10">
        <f t="shared" si="0"/>
        <v>-1.7628856687162062</v>
      </c>
    </row>
    <row r="61" spans="1:5" x14ac:dyDescent="0.3">
      <c r="A61" t="s">
        <v>437</v>
      </c>
      <c r="B61" t="s">
        <v>643</v>
      </c>
      <c r="C61">
        <v>13.1</v>
      </c>
      <c r="D61">
        <v>1</v>
      </c>
      <c r="E61" s="10">
        <f t="shared" si="0"/>
        <v>0.17721242310583077</v>
      </c>
    </row>
    <row r="62" spans="1:5" x14ac:dyDescent="0.3">
      <c r="A62" t="s">
        <v>438</v>
      </c>
      <c r="B62" t="s">
        <v>643</v>
      </c>
      <c r="C62">
        <v>12.1</v>
      </c>
      <c r="D62">
        <v>2</v>
      </c>
      <c r="E62" s="10">
        <f t="shared" si="0"/>
        <v>-0.46948694083484821</v>
      </c>
    </row>
    <row r="63" spans="1:5" x14ac:dyDescent="0.3">
      <c r="A63" t="s">
        <v>439</v>
      </c>
      <c r="B63" t="s">
        <v>643</v>
      </c>
      <c r="C63">
        <v>12.2</v>
      </c>
      <c r="D63">
        <v>1</v>
      </c>
      <c r="E63" s="10">
        <f t="shared" si="0"/>
        <v>-0.40481700444078056</v>
      </c>
    </row>
    <row r="64" spans="1:5" x14ac:dyDescent="0.3">
      <c r="A64" t="s">
        <v>440</v>
      </c>
      <c r="B64" t="s">
        <v>643</v>
      </c>
      <c r="C64">
        <v>13.5</v>
      </c>
      <c r="D64">
        <v>1</v>
      </c>
      <c r="E64" s="10">
        <f t="shared" si="0"/>
        <v>0.43589216868210262</v>
      </c>
    </row>
    <row r="65" spans="1:5" x14ac:dyDescent="0.3">
      <c r="A65" t="s">
        <v>441</v>
      </c>
      <c r="B65" t="s">
        <v>642</v>
      </c>
      <c r="C65">
        <v>12.7</v>
      </c>
      <c r="D65">
        <v>2</v>
      </c>
      <c r="E65" s="10">
        <f t="shared" si="0"/>
        <v>-8.1467322470441056E-2</v>
      </c>
    </row>
    <row r="66" spans="1:5" x14ac:dyDescent="0.3">
      <c r="A66" t="s">
        <v>442</v>
      </c>
      <c r="B66" t="s">
        <v>643</v>
      </c>
      <c r="C66">
        <v>17.600000000000001</v>
      </c>
      <c r="D66">
        <v>1</v>
      </c>
      <c r="E66" s="10">
        <f t="shared" si="0"/>
        <v>3.0873595608388875</v>
      </c>
    </row>
    <row r="67" spans="1:5" x14ac:dyDescent="0.3">
      <c r="A67" t="s">
        <v>443</v>
      </c>
      <c r="B67" t="s">
        <v>642</v>
      </c>
      <c r="C67">
        <v>11.2</v>
      </c>
      <c r="D67">
        <v>2</v>
      </c>
      <c r="E67" s="10">
        <f t="shared" ref="E67:E130" si="1">STANDARDIZE(C67, AVERAGE($C$2:$C$242), _xlfn.STDEV.S($C$2:$C$242))</f>
        <v>-1.0515163683814595</v>
      </c>
    </row>
    <row r="68" spans="1:5" x14ac:dyDescent="0.3">
      <c r="A68" t="s">
        <v>444</v>
      </c>
      <c r="B68" t="s">
        <v>643</v>
      </c>
      <c r="C68">
        <v>10.1</v>
      </c>
      <c r="D68">
        <v>1</v>
      </c>
      <c r="E68" s="10">
        <f t="shared" si="1"/>
        <v>-1.7628856687162062</v>
      </c>
    </row>
    <row r="69" spans="1:5" x14ac:dyDescent="0.3">
      <c r="A69" t="s">
        <v>445</v>
      </c>
      <c r="B69" t="s">
        <v>643</v>
      </c>
      <c r="C69">
        <v>11.4</v>
      </c>
      <c r="D69">
        <v>2</v>
      </c>
      <c r="E69" s="10">
        <f t="shared" si="1"/>
        <v>-0.92217649559332304</v>
      </c>
    </row>
    <row r="70" spans="1:5" x14ac:dyDescent="0.3">
      <c r="A70" t="s">
        <v>446</v>
      </c>
      <c r="B70" t="s">
        <v>643</v>
      </c>
      <c r="C70">
        <v>10.5</v>
      </c>
      <c r="D70">
        <v>1</v>
      </c>
      <c r="E70" s="10">
        <f t="shared" si="1"/>
        <v>-1.5042059231399343</v>
      </c>
    </row>
    <row r="71" spans="1:5" x14ac:dyDescent="0.3">
      <c r="A71" t="s">
        <v>447</v>
      </c>
      <c r="B71" t="s">
        <v>643</v>
      </c>
      <c r="C71">
        <v>12</v>
      </c>
      <c r="D71">
        <v>1</v>
      </c>
      <c r="E71" s="10">
        <f t="shared" si="1"/>
        <v>-0.53415687722891592</v>
      </c>
    </row>
    <row r="72" spans="1:5" x14ac:dyDescent="0.3">
      <c r="A72" t="s">
        <v>448</v>
      </c>
      <c r="B72" t="s">
        <v>642</v>
      </c>
      <c r="C72">
        <v>14.1</v>
      </c>
      <c r="D72">
        <v>2</v>
      </c>
      <c r="E72" s="10">
        <f t="shared" si="1"/>
        <v>0.8239117870465098</v>
      </c>
    </row>
    <row r="73" spans="1:5" x14ac:dyDescent="0.3">
      <c r="A73" t="s">
        <v>449</v>
      </c>
      <c r="B73" t="s">
        <v>642</v>
      </c>
      <c r="C73">
        <v>13</v>
      </c>
      <c r="D73">
        <v>1</v>
      </c>
      <c r="E73" s="10">
        <f t="shared" si="1"/>
        <v>0.1125424867117631</v>
      </c>
    </row>
    <row r="74" spans="1:5" x14ac:dyDescent="0.3">
      <c r="A74" t="s">
        <v>450</v>
      </c>
      <c r="B74" t="s">
        <v>643</v>
      </c>
      <c r="C74">
        <v>12.8</v>
      </c>
      <c r="D74">
        <v>3</v>
      </c>
      <c r="E74" s="10">
        <f t="shared" si="1"/>
        <v>-1.6797386076372232E-2</v>
      </c>
    </row>
    <row r="75" spans="1:5" x14ac:dyDescent="0.3">
      <c r="A75" t="s">
        <v>451</v>
      </c>
      <c r="B75" t="s">
        <v>643</v>
      </c>
      <c r="C75">
        <v>12.4</v>
      </c>
      <c r="D75">
        <v>3</v>
      </c>
      <c r="E75" s="10">
        <f t="shared" si="1"/>
        <v>-0.27547713165264404</v>
      </c>
    </row>
    <row r="76" spans="1:5" x14ac:dyDescent="0.3">
      <c r="A76" t="s">
        <v>452</v>
      </c>
      <c r="B76" t="s">
        <v>643</v>
      </c>
      <c r="C76">
        <v>13.4</v>
      </c>
      <c r="D76">
        <v>1</v>
      </c>
      <c r="E76" s="10">
        <f t="shared" si="1"/>
        <v>0.37122223228803491</v>
      </c>
    </row>
    <row r="77" spans="1:5" x14ac:dyDescent="0.3">
      <c r="A77" t="s">
        <v>453</v>
      </c>
      <c r="B77" t="s">
        <v>643</v>
      </c>
      <c r="C77">
        <v>10.1</v>
      </c>
      <c r="D77">
        <v>2</v>
      </c>
      <c r="E77" s="10">
        <f t="shared" si="1"/>
        <v>-1.7628856687162062</v>
      </c>
    </row>
    <row r="78" spans="1:5" x14ac:dyDescent="0.3">
      <c r="A78" t="s">
        <v>454</v>
      </c>
      <c r="B78" t="s">
        <v>642</v>
      </c>
      <c r="C78">
        <v>11.1</v>
      </c>
      <c r="D78">
        <v>2</v>
      </c>
      <c r="E78" s="10">
        <f t="shared" si="1"/>
        <v>-1.1161863047755272</v>
      </c>
    </row>
    <row r="79" spans="1:5" x14ac:dyDescent="0.3">
      <c r="A79" t="s">
        <v>455</v>
      </c>
      <c r="B79" t="s">
        <v>643</v>
      </c>
      <c r="C79">
        <v>12.5</v>
      </c>
      <c r="D79">
        <v>3</v>
      </c>
      <c r="E79" s="10">
        <f t="shared" si="1"/>
        <v>-0.21080719525857639</v>
      </c>
    </row>
    <row r="80" spans="1:5" x14ac:dyDescent="0.3">
      <c r="A80" t="s">
        <v>456</v>
      </c>
      <c r="B80" t="s">
        <v>643</v>
      </c>
      <c r="C80">
        <v>13.5</v>
      </c>
      <c r="D80">
        <v>1</v>
      </c>
      <c r="E80" s="10">
        <f t="shared" si="1"/>
        <v>0.43589216868210262</v>
      </c>
    </row>
    <row r="81" spans="1:5" x14ac:dyDescent="0.3">
      <c r="A81" t="s">
        <v>457</v>
      </c>
      <c r="B81" t="s">
        <v>643</v>
      </c>
      <c r="C81">
        <v>11.6</v>
      </c>
      <c r="D81">
        <v>2</v>
      </c>
      <c r="E81" s="10">
        <f t="shared" si="1"/>
        <v>-0.79283662280518774</v>
      </c>
    </row>
    <row r="82" spans="1:5" x14ac:dyDescent="0.3">
      <c r="A82" t="s">
        <v>458</v>
      </c>
      <c r="B82" t="s">
        <v>643</v>
      </c>
      <c r="C82">
        <v>13.1</v>
      </c>
      <c r="D82">
        <v>1</v>
      </c>
      <c r="E82" s="10">
        <f t="shared" si="1"/>
        <v>0.17721242310583077</v>
      </c>
    </row>
    <row r="83" spans="1:5" x14ac:dyDescent="0.3">
      <c r="A83" t="s">
        <v>459</v>
      </c>
      <c r="B83" t="s">
        <v>643</v>
      </c>
      <c r="C83">
        <v>13.2</v>
      </c>
      <c r="D83">
        <v>2</v>
      </c>
      <c r="E83" s="10">
        <f t="shared" si="1"/>
        <v>0.24188235949989845</v>
      </c>
    </row>
    <row r="84" spans="1:5" x14ac:dyDescent="0.3">
      <c r="A84" t="s">
        <v>460</v>
      </c>
      <c r="B84" t="s">
        <v>642</v>
      </c>
      <c r="C84">
        <v>14.4</v>
      </c>
      <c r="D84">
        <v>2</v>
      </c>
      <c r="E84" s="10">
        <f t="shared" si="1"/>
        <v>1.0179215962287138</v>
      </c>
    </row>
    <row r="85" spans="1:5" x14ac:dyDescent="0.3">
      <c r="A85" t="s">
        <v>461</v>
      </c>
      <c r="B85" t="s">
        <v>643</v>
      </c>
      <c r="C85">
        <v>13.3</v>
      </c>
      <c r="D85">
        <v>3</v>
      </c>
      <c r="E85" s="10">
        <f t="shared" si="1"/>
        <v>0.30655229589396726</v>
      </c>
    </row>
    <row r="86" spans="1:5" x14ac:dyDescent="0.3">
      <c r="A86" t="s">
        <v>462</v>
      </c>
      <c r="B86" t="s">
        <v>643</v>
      </c>
      <c r="C86">
        <v>11.1</v>
      </c>
      <c r="D86">
        <v>4</v>
      </c>
      <c r="E86" s="10">
        <f t="shared" si="1"/>
        <v>-1.1161863047755272</v>
      </c>
    </row>
    <row r="87" spans="1:5" x14ac:dyDescent="0.3">
      <c r="A87" t="s">
        <v>463</v>
      </c>
      <c r="B87" t="s">
        <v>643</v>
      </c>
      <c r="C87">
        <v>14.9</v>
      </c>
      <c r="D87">
        <v>1</v>
      </c>
      <c r="E87" s="10">
        <f t="shared" si="1"/>
        <v>1.3412712781990535</v>
      </c>
    </row>
    <row r="88" spans="1:5" x14ac:dyDescent="0.3">
      <c r="A88" t="s">
        <v>464</v>
      </c>
      <c r="B88" t="s">
        <v>642</v>
      </c>
      <c r="C88">
        <v>11.3</v>
      </c>
      <c r="D88">
        <v>2</v>
      </c>
      <c r="E88" s="10">
        <f t="shared" si="1"/>
        <v>-0.98684643198739075</v>
      </c>
    </row>
    <row r="89" spans="1:5" x14ac:dyDescent="0.3">
      <c r="A89" t="s">
        <v>465</v>
      </c>
      <c r="B89" t="s">
        <v>643</v>
      </c>
      <c r="C89">
        <v>14.2</v>
      </c>
      <c r="D89">
        <v>1</v>
      </c>
      <c r="E89" s="10">
        <f t="shared" si="1"/>
        <v>0.8885817234405774</v>
      </c>
    </row>
    <row r="90" spans="1:5" x14ac:dyDescent="0.3">
      <c r="A90" t="s">
        <v>466</v>
      </c>
      <c r="B90" t="s">
        <v>643</v>
      </c>
      <c r="C90">
        <v>13.1</v>
      </c>
      <c r="D90">
        <v>4</v>
      </c>
      <c r="E90" s="10">
        <f t="shared" si="1"/>
        <v>0.17721242310583077</v>
      </c>
    </row>
    <row r="91" spans="1:5" x14ac:dyDescent="0.3">
      <c r="A91" t="s">
        <v>467</v>
      </c>
      <c r="B91" t="s">
        <v>642</v>
      </c>
      <c r="C91">
        <v>12.4</v>
      </c>
      <c r="D91">
        <v>2</v>
      </c>
      <c r="E91" s="10">
        <f t="shared" si="1"/>
        <v>-0.27547713165264404</v>
      </c>
    </row>
    <row r="92" spans="1:5" x14ac:dyDescent="0.3">
      <c r="A92" t="s">
        <v>468</v>
      </c>
      <c r="B92" t="s">
        <v>642</v>
      </c>
      <c r="C92">
        <v>12.6</v>
      </c>
      <c r="D92">
        <v>2</v>
      </c>
      <c r="E92" s="10">
        <f t="shared" si="1"/>
        <v>-0.14613725886450871</v>
      </c>
    </row>
    <row r="93" spans="1:5" x14ac:dyDescent="0.3">
      <c r="A93" t="s">
        <v>469</v>
      </c>
      <c r="B93" t="s">
        <v>643</v>
      </c>
      <c r="C93">
        <v>14.1</v>
      </c>
      <c r="D93">
        <v>2</v>
      </c>
      <c r="E93" s="10">
        <f t="shared" si="1"/>
        <v>0.8239117870465098</v>
      </c>
    </row>
    <row r="94" spans="1:5" x14ac:dyDescent="0.3">
      <c r="A94" t="s">
        <v>470</v>
      </c>
      <c r="B94" t="s">
        <v>643</v>
      </c>
      <c r="C94">
        <v>11.1</v>
      </c>
      <c r="D94">
        <v>2</v>
      </c>
      <c r="E94" s="10">
        <f t="shared" si="1"/>
        <v>-1.1161863047755272</v>
      </c>
    </row>
    <row r="95" spans="1:5" x14ac:dyDescent="0.3">
      <c r="A95" t="s">
        <v>471</v>
      </c>
      <c r="B95" t="s">
        <v>643</v>
      </c>
      <c r="C95">
        <v>13.1</v>
      </c>
      <c r="D95">
        <v>1</v>
      </c>
      <c r="E95" s="10">
        <f t="shared" si="1"/>
        <v>0.17721242310583077</v>
      </c>
    </row>
    <row r="96" spans="1:5" x14ac:dyDescent="0.3">
      <c r="A96" t="s">
        <v>472</v>
      </c>
      <c r="B96" t="s">
        <v>643</v>
      </c>
      <c r="C96">
        <v>13.9</v>
      </c>
      <c r="D96">
        <v>3</v>
      </c>
      <c r="E96" s="10">
        <f t="shared" si="1"/>
        <v>0.69457191425837439</v>
      </c>
    </row>
    <row r="97" spans="1:5" x14ac:dyDescent="0.3">
      <c r="A97" t="s">
        <v>473</v>
      </c>
      <c r="B97" t="s">
        <v>643</v>
      </c>
      <c r="C97">
        <v>12.8</v>
      </c>
      <c r="D97">
        <v>1</v>
      </c>
      <c r="E97" s="10">
        <f t="shared" si="1"/>
        <v>-1.6797386076372232E-2</v>
      </c>
    </row>
    <row r="98" spans="1:5" x14ac:dyDescent="0.3">
      <c r="A98" t="s">
        <v>474</v>
      </c>
      <c r="B98" t="s">
        <v>643</v>
      </c>
      <c r="C98">
        <v>12.8</v>
      </c>
      <c r="D98">
        <v>1</v>
      </c>
      <c r="E98" s="10">
        <f t="shared" si="1"/>
        <v>-1.6797386076372232E-2</v>
      </c>
    </row>
    <row r="99" spans="1:5" x14ac:dyDescent="0.3">
      <c r="A99" t="s">
        <v>475</v>
      </c>
      <c r="B99" t="s">
        <v>642</v>
      </c>
      <c r="C99">
        <v>12.1</v>
      </c>
      <c r="D99">
        <v>2</v>
      </c>
      <c r="E99" s="10">
        <f t="shared" si="1"/>
        <v>-0.46948694083484821</v>
      </c>
    </row>
    <row r="100" spans="1:5" x14ac:dyDescent="0.3">
      <c r="A100" t="s">
        <v>476</v>
      </c>
      <c r="B100" t="s">
        <v>643</v>
      </c>
      <c r="C100">
        <v>12.8</v>
      </c>
      <c r="D100">
        <v>4</v>
      </c>
      <c r="E100" s="10">
        <f t="shared" si="1"/>
        <v>-1.6797386076372232E-2</v>
      </c>
    </row>
    <row r="101" spans="1:5" x14ac:dyDescent="0.3">
      <c r="A101" t="s">
        <v>477</v>
      </c>
      <c r="B101" t="s">
        <v>643</v>
      </c>
      <c r="C101">
        <v>12.3</v>
      </c>
      <c r="D101">
        <v>3</v>
      </c>
      <c r="E101" s="10">
        <f t="shared" si="1"/>
        <v>-0.34014706804671174</v>
      </c>
    </row>
    <row r="102" spans="1:5" x14ac:dyDescent="0.3">
      <c r="A102" t="s">
        <v>478</v>
      </c>
      <c r="B102" t="s">
        <v>643</v>
      </c>
      <c r="C102">
        <v>12.9</v>
      </c>
      <c r="D102">
        <v>2</v>
      </c>
      <c r="E102" s="10">
        <f t="shared" si="1"/>
        <v>4.7872550317695439E-2</v>
      </c>
    </row>
    <row r="103" spans="1:5" x14ac:dyDescent="0.3">
      <c r="A103" t="s">
        <v>479</v>
      </c>
      <c r="B103" t="s">
        <v>643</v>
      </c>
      <c r="C103">
        <v>12.8</v>
      </c>
      <c r="D103">
        <v>2</v>
      </c>
      <c r="E103" s="10">
        <f t="shared" si="1"/>
        <v>-1.6797386076372232E-2</v>
      </c>
    </row>
    <row r="104" spans="1:5" x14ac:dyDescent="0.3">
      <c r="A104" t="s">
        <v>480</v>
      </c>
      <c r="B104" t="s">
        <v>642</v>
      </c>
      <c r="C104">
        <v>9.6999999999999993</v>
      </c>
      <c r="D104">
        <v>2</v>
      </c>
      <c r="E104" s="10">
        <f t="shared" si="1"/>
        <v>-2.0215654142924779</v>
      </c>
    </row>
    <row r="105" spans="1:5" x14ac:dyDescent="0.3">
      <c r="A105" t="s">
        <v>481</v>
      </c>
      <c r="B105" t="s">
        <v>643</v>
      </c>
      <c r="C105">
        <v>11</v>
      </c>
      <c r="D105">
        <v>2</v>
      </c>
      <c r="E105" s="10">
        <f t="shared" si="1"/>
        <v>-1.1808562411695949</v>
      </c>
    </row>
    <row r="106" spans="1:5" x14ac:dyDescent="0.3">
      <c r="A106" t="s">
        <v>482</v>
      </c>
      <c r="B106" t="s">
        <v>643</v>
      </c>
      <c r="C106">
        <v>14.8</v>
      </c>
      <c r="D106">
        <v>1</v>
      </c>
      <c r="E106" s="10">
        <f t="shared" si="1"/>
        <v>1.2766013418049857</v>
      </c>
    </row>
    <row r="107" spans="1:5" x14ac:dyDescent="0.3">
      <c r="A107" t="s">
        <v>483</v>
      </c>
      <c r="B107" t="s">
        <v>643</v>
      </c>
      <c r="C107">
        <v>13</v>
      </c>
      <c r="D107">
        <v>1</v>
      </c>
      <c r="E107" s="10">
        <f t="shared" si="1"/>
        <v>0.1125424867117631</v>
      </c>
    </row>
    <row r="108" spans="1:5" x14ac:dyDescent="0.3">
      <c r="A108" t="s">
        <v>484</v>
      </c>
      <c r="B108" t="s">
        <v>643</v>
      </c>
      <c r="C108">
        <v>11.1</v>
      </c>
      <c r="D108">
        <v>1</v>
      </c>
      <c r="E108" s="10">
        <f t="shared" si="1"/>
        <v>-1.1161863047755272</v>
      </c>
    </row>
    <row r="109" spans="1:5" x14ac:dyDescent="0.3">
      <c r="A109" t="s">
        <v>485</v>
      </c>
      <c r="B109" t="s">
        <v>643</v>
      </c>
      <c r="C109">
        <v>11.3</v>
      </c>
      <c r="D109">
        <v>2</v>
      </c>
      <c r="E109" s="10">
        <f t="shared" si="1"/>
        <v>-0.98684643198739075</v>
      </c>
    </row>
    <row r="110" spans="1:5" x14ac:dyDescent="0.3">
      <c r="A110" t="s">
        <v>486</v>
      </c>
      <c r="B110" t="s">
        <v>643</v>
      </c>
      <c r="C110">
        <v>10.3</v>
      </c>
      <c r="D110">
        <v>3</v>
      </c>
      <c r="E110" s="10">
        <f t="shared" si="1"/>
        <v>-1.6335457959280697</v>
      </c>
    </row>
    <row r="111" spans="1:5" x14ac:dyDescent="0.3">
      <c r="A111" t="s">
        <v>487</v>
      </c>
      <c r="B111" t="s">
        <v>643</v>
      </c>
      <c r="C111">
        <v>10.1</v>
      </c>
      <c r="D111">
        <v>3</v>
      </c>
      <c r="E111" s="10">
        <f t="shared" si="1"/>
        <v>-1.7628856687162062</v>
      </c>
    </row>
    <row r="112" spans="1:5" x14ac:dyDescent="0.3">
      <c r="A112" t="s">
        <v>488</v>
      </c>
      <c r="B112" t="s">
        <v>643</v>
      </c>
      <c r="C112">
        <v>12</v>
      </c>
      <c r="D112">
        <v>1</v>
      </c>
      <c r="E112" s="10">
        <f t="shared" si="1"/>
        <v>-0.53415687722891592</v>
      </c>
    </row>
    <row r="113" spans="1:5" x14ac:dyDescent="0.3">
      <c r="A113" t="s">
        <v>489</v>
      </c>
      <c r="B113" t="s">
        <v>642</v>
      </c>
      <c r="C113">
        <v>13.1</v>
      </c>
      <c r="D113">
        <v>3</v>
      </c>
      <c r="E113" s="10">
        <f t="shared" si="1"/>
        <v>0.17721242310583077</v>
      </c>
    </row>
    <row r="114" spans="1:5" x14ac:dyDescent="0.3">
      <c r="A114" t="s">
        <v>490</v>
      </c>
      <c r="B114" t="s">
        <v>643</v>
      </c>
      <c r="C114">
        <v>15.1</v>
      </c>
      <c r="D114">
        <v>1</v>
      </c>
      <c r="E114" s="10">
        <f t="shared" si="1"/>
        <v>1.4706111509871886</v>
      </c>
    </row>
    <row r="115" spans="1:5" x14ac:dyDescent="0.3">
      <c r="A115" t="s">
        <v>491</v>
      </c>
      <c r="B115" t="s">
        <v>643</v>
      </c>
      <c r="C115">
        <v>13.3</v>
      </c>
      <c r="D115">
        <v>2</v>
      </c>
      <c r="E115" s="10">
        <f t="shared" si="1"/>
        <v>0.30655229589396726</v>
      </c>
    </row>
    <row r="116" spans="1:5" x14ac:dyDescent="0.3">
      <c r="A116" t="s">
        <v>492</v>
      </c>
      <c r="B116" t="s">
        <v>643</v>
      </c>
      <c r="C116">
        <v>12.4</v>
      </c>
      <c r="D116">
        <v>3</v>
      </c>
      <c r="E116" s="10">
        <f t="shared" si="1"/>
        <v>-0.27547713165264404</v>
      </c>
    </row>
    <row r="117" spans="1:5" x14ac:dyDescent="0.3">
      <c r="A117" t="s">
        <v>493</v>
      </c>
      <c r="B117" t="s">
        <v>643</v>
      </c>
      <c r="C117">
        <v>15.9</v>
      </c>
      <c r="D117">
        <v>4</v>
      </c>
      <c r="E117" s="10">
        <f t="shared" si="1"/>
        <v>1.9879706421397323</v>
      </c>
    </row>
    <row r="118" spans="1:5" x14ac:dyDescent="0.3">
      <c r="A118" t="s">
        <v>494</v>
      </c>
      <c r="B118" t="s">
        <v>643</v>
      </c>
      <c r="C118">
        <v>10.3</v>
      </c>
      <c r="D118">
        <v>3</v>
      </c>
      <c r="E118" s="10">
        <f t="shared" si="1"/>
        <v>-1.6335457959280697</v>
      </c>
    </row>
    <row r="119" spans="1:5" x14ac:dyDescent="0.3">
      <c r="A119" t="s">
        <v>495</v>
      </c>
      <c r="B119" t="s">
        <v>643</v>
      </c>
      <c r="C119">
        <v>10.1</v>
      </c>
      <c r="D119">
        <v>1</v>
      </c>
      <c r="E119" s="10">
        <f t="shared" si="1"/>
        <v>-1.7628856687162062</v>
      </c>
    </row>
    <row r="120" spans="1:5" x14ac:dyDescent="0.3">
      <c r="A120" t="s">
        <v>496</v>
      </c>
      <c r="B120" t="s">
        <v>643</v>
      </c>
      <c r="C120">
        <v>13</v>
      </c>
      <c r="D120">
        <v>2</v>
      </c>
      <c r="E120" s="10">
        <f t="shared" si="1"/>
        <v>0.1125424867117631</v>
      </c>
    </row>
    <row r="121" spans="1:5" x14ac:dyDescent="0.3">
      <c r="A121" t="s">
        <v>497</v>
      </c>
      <c r="B121" t="s">
        <v>643</v>
      </c>
      <c r="C121">
        <v>10.1</v>
      </c>
      <c r="D121">
        <v>1</v>
      </c>
      <c r="E121" s="10">
        <f t="shared" si="1"/>
        <v>-1.7628856687162062</v>
      </c>
    </row>
    <row r="122" spans="1:5" x14ac:dyDescent="0.3">
      <c r="A122" t="s">
        <v>498</v>
      </c>
      <c r="B122" t="s">
        <v>643</v>
      </c>
      <c r="C122">
        <v>11.5</v>
      </c>
      <c r="D122">
        <v>2</v>
      </c>
      <c r="E122" s="10">
        <f t="shared" si="1"/>
        <v>-0.85750655919925534</v>
      </c>
    </row>
    <row r="123" spans="1:5" x14ac:dyDescent="0.3">
      <c r="A123" t="s">
        <v>499</v>
      </c>
      <c r="B123" t="s">
        <v>643</v>
      </c>
      <c r="C123">
        <v>15.6</v>
      </c>
      <c r="D123">
        <v>3</v>
      </c>
      <c r="E123" s="10">
        <f t="shared" si="1"/>
        <v>1.7939608329575283</v>
      </c>
    </row>
    <row r="124" spans="1:5" x14ac:dyDescent="0.3">
      <c r="A124" t="s">
        <v>500</v>
      </c>
      <c r="B124" t="s">
        <v>643</v>
      </c>
      <c r="C124">
        <v>14</v>
      </c>
      <c r="D124">
        <v>2</v>
      </c>
      <c r="E124" s="10">
        <f t="shared" si="1"/>
        <v>0.7592418506524421</v>
      </c>
    </row>
    <row r="125" spans="1:5" x14ac:dyDescent="0.3">
      <c r="A125" t="s">
        <v>501</v>
      </c>
      <c r="B125" t="s">
        <v>643</v>
      </c>
      <c r="C125">
        <v>10.1</v>
      </c>
      <c r="D125">
        <v>1</v>
      </c>
      <c r="E125" s="10">
        <f t="shared" si="1"/>
        <v>-1.7628856687162062</v>
      </c>
    </row>
    <row r="126" spans="1:5" x14ac:dyDescent="0.3">
      <c r="A126" t="s">
        <v>502</v>
      </c>
      <c r="B126" t="s">
        <v>643</v>
      </c>
      <c r="C126">
        <v>13.5</v>
      </c>
      <c r="D126">
        <v>1</v>
      </c>
      <c r="E126" s="10">
        <f t="shared" si="1"/>
        <v>0.43589216868210262</v>
      </c>
    </row>
    <row r="127" spans="1:5" x14ac:dyDescent="0.3">
      <c r="A127" t="s">
        <v>503</v>
      </c>
      <c r="B127" t="s">
        <v>643</v>
      </c>
      <c r="C127">
        <v>13.1</v>
      </c>
      <c r="D127">
        <v>1</v>
      </c>
      <c r="E127" s="10">
        <f t="shared" si="1"/>
        <v>0.17721242310583077</v>
      </c>
    </row>
    <row r="128" spans="1:5" x14ac:dyDescent="0.3">
      <c r="A128" t="s">
        <v>504</v>
      </c>
      <c r="B128" t="s">
        <v>643</v>
      </c>
      <c r="C128">
        <v>11.9</v>
      </c>
      <c r="D128">
        <v>1</v>
      </c>
      <c r="E128" s="10">
        <f t="shared" si="1"/>
        <v>-0.59882681362298351</v>
      </c>
    </row>
    <row r="129" spans="1:5" x14ac:dyDescent="0.3">
      <c r="A129" t="s">
        <v>505</v>
      </c>
      <c r="B129" t="s">
        <v>642</v>
      </c>
      <c r="C129">
        <v>13.6</v>
      </c>
      <c r="D129">
        <v>5</v>
      </c>
      <c r="E129" s="10">
        <f t="shared" si="1"/>
        <v>0.50056210507617027</v>
      </c>
    </row>
    <row r="130" spans="1:5" x14ac:dyDescent="0.3">
      <c r="A130" t="s">
        <v>506</v>
      </c>
      <c r="B130" t="s">
        <v>643</v>
      </c>
      <c r="C130">
        <v>11.3</v>
      </c>
      <c r="D130">
        <v>2</v>
      </c>
      <c r="E130" s="10">
        <f t="shared" si="1"/>
        <v>-0.98684643198739075</v>
      </c>
    </row>
    <row r="131" spans="1:5" x14ac:dyDescent="0.3">
      <c r="A131" t="s">
        <v>507</v>
      </c>
      <c r="B131" t="s">
        <v>643</v>
      </c>
      <c r="C131">
        <v>13.2</v>
      </c>
      <c r="D131">
        <v>1</v>
      </c>
      <c r="E131" s="10">
        <f t="shared" ref="E131:E155" si="2">STANDARDIZE(C131, AVERAGE($C$2:$C$242), _xlfn.STDEV.S($C$2:$C$242))</f>
        <v>0.24188235949989845</v>
      </c>
    </row>
    <row r="132" spans="1:5" x14ac:dyDescent="0.3">
      <c r="A132" t="s">
        <v>508</v>
      </c>
      <c r="B132" t="s">
        <v>643</v>
      </c>
      <c r="C132">
        <v>13</v>
      </c>
      <c r="D132">
        <v>1</v>
      </c>
      <c r="E132" s="10">
        <f t="shared" si="2"/>
        <v>0.1125424867117631</v>
      </c>
    </row>
    <row r="133" spans="1:5" x14ac:dyDescent="0.3">
      <c r="A133" t="s">
        <v>509</v>
      </c>
      <c r="B133" t="s">
        <v>643</v>
      </c>
      <c r="C133">
        <v>10.1</v>
      </c>
      <c r="D133">
        <v>1</v>
      </c>
      <c r="E133" s="10">
        <f t="shared" si="2"/>
        <v>-1.7628856687162062</v>
      </c>
    </row>
    <row r="134" spans="1:5" x14ac:dyDescent="0.3">
      <c r="A134" t="s">
        <v>510</v>
      </c>
      <c r="B134" t="s">
        <v>643</v>
      </c>
      <c r="C134">
        <v>14.8</v>
      </c>
      <c r="D134">
        <v>3</v>
      </c>
      <c r="E134" s="10">
        <f t="shared" si="2"/>
        <v>1.2766013418049857</v>
      </c>
    </row>
    <row r="135" spans="1:5" x14ac:dyDescent="0.3">
      <c r="A135" t="s">
        <v>511</v>
      </c>
      <c r="B135" t="s">
        <v>643</v>
      </c>
      <c r="C135">
        <v>12.5</v>
      </c>
      <c r="D135">
        <v>1</v>
      </c>
      <c r="E135" s="10">
        <f t="shared" si="2"/>
        <v>-0.21080719525857639</v>
      </c>
    </row>
    <row r="136" spans="1:5" x14ac:dyDescent="0.3">
      <c r="A136" t="s">
        <v>512</v>
      </c>
      <c r="B136" t="s">
        <v>643</v>
      </c>
      <c r="C136">
        <v>10.8</v>
      </c>
      <c r="D136">
        <v>1</v>
      </c>
      <c r="E136" s="10">
        <f t="shared" si="2"/>
        <v>-1.3101961139577303</v>
      </c>
    </row>
    <row r="137" spans="1:5" x14ac:dyDescent="0.3">
      <c r="A137" t="s">
        <v>513</v>
      </c>
      <c r="B137" t="s">
        <v>643</v>
      </c>
      <c r="C137">
        <v>15.8</v>
      </c>
      <c r="D137">
        <v>1</v>
      </c>
      <c r="E137" s="10">
        <f t="shared" si="2"/>
        <v>1.9233007057456648</v>
      </c>
    </row>
    <row r="138" spans="1:5" x14ac:dyDescent="0.3">
      <c r="A138" t="s">
        <v>514</v>
      </c>
      <c r="B138" t="s">
        <v>643</v>
      </c>
      <c r="C138">
        <v>14.1</v>
      </c>
      <c r="D138">
        <v>2</v>
      </c>
      <c r="E138" s="10">
        <f t="shared" si="2"/>
        <v>0.8239117870465098</v>
      </c>
    </row>
    <row r="139" spans="1:5" x14ac:dyDescent="0.3">
      <c r="A139" t="s">
        <v>515</v>
      </c>
      <c r="B139" t="s">
        <v>643</v>
      </c>
      <c r="C139">
        <v>9.9</v>
      </c>
      <c r="D139">
        <v>1</v>
      </c>
      <c r="E139" s="10">
        <f t="shared" si="2"/>
        <v>-1.8922255415043416</v>
      </c>
    </row>
    <row r="140" spans="1:5" x14ac:dyDescent="0.3">
      <c r="A140" t="s">
        <v>516</v>
      </c>
      <c r="B140" t="s">
        <v>643</v>
      </c>
      <c r="C140">
        <v>16</v>
      </c>
      <c r="D140">
        <v>1</v>
      </c>
      <c r="E140" s="10">
        <f t="shared" si="2"/>
        <v>2.0526405785338002</v>
      </c>
    </row>
    <row r="141" spans="1:5" x14ac:dyDescent="0.3">
      <c r="A141" t="s">
        <v>517</v>
      </c>
      <c r="B141" t="s">
        <v>643</v>
      </c>
      <c r="C141">
        <v>12</v>
      </c>
      <c r="D141">
        <v>2</v>
      </c>
      <c r="E141" s="10">
        <f t="shared" si="2"/>
        <v>-0.53415687722891592</v>
      </c>
    </row>
    <row r="142" spans="1:5" x14ac:dyDescent="0.3">
      <c r="A142" t="s">
        <v>518</v>
      </c>
      <c r="B142" t="s">
        <v>643</v>
      </c>
      <c r="C142">
        <v>10.1</v>
      </c>
      <c r="D142">
        <v>2</v>
      </c>
      <c r="E142" s="10">
        <f t="shared" si="2"/>
        <v>-1.7628856687162062</v>
      </c>
    </row>
    <row r="143" spans="1:5" x14ac:dyDescent="0.3">
      <c r="A143" t="s">
        <v>519</v>
      </c>
      <c r="B143" t="s">
        <v>642</v>
      </c>
      <c r="C143">
        <v>11.6</v>
      </c>
      <c r="D143">
        <v>3</v>
      </c>
      <c r="E143" s="10">
        <f t="shared" si="2"/>
        <v>-0.79283662280518774</v>
      </c>
    </row>
    <row r="144" spans="1:5" x14ac:dyDescent="0.3">
      <c r="A144" t="s">
        <v>520</v>
      </c>
      <c r="B144" t="s">
        <v>642</v>
      </c>
      <c r="C144">
        <v>14</v>
      </c>
      <c r="D144">
        <v>4</v>
      </c>
      <c r="E144" s="10">
        <f t="shared" si="2"/>
        <v>0.7592418506524421</v>
      </c>
    </row>
    <row r="145" spans="1:5" x14ac:dyDescent="0.3">
      <c r="A145" t="s">
        <v>521</v>
      </c>
      <c r="B145" t="s">
        <v>643</v>
      </c>
      <c r="C145">
        <v>14.1</v>
      </c>
      <c r="D145">
        <v>1</v>
      </c>
      <c r="E145" s="10">
        <f t="shared" si="2"/>
        <v>0.8239117870465098</v>
      </c>
    </row>
    <row r="146" spans="1:5" x14ac:dyDescent="0.3">
      <c r="A146" t="s">
        <v>522</v>
      </c>
      <c r="B146" t="s">
        <v>643</v>
      </c>
      <c r="C146">
        <v>14.8</v>
      </c>
      <c r="D146">
        <v>1</v>
      </c>
      <c r="E146" s="10">
        <f t="shared" si="2"/>
        <v>1.2766013418049857</v>
      </c>
    </row>
    <row r="147" spans="1:5" x14ac:dyDescent="0.3">
      <c r="A147" t="s">
        <v>523</v>
      </c>
      <c r="B147" t="s">
        <v>643</v>
      </c>
      <c r="C147">
        <v>14</v>
      </c>
      <c r="D147">
        <v>3</v>
      </c>
      <c r="E147" s="10">
        <f t="shared" si="2"/>
        <v>0.7592418506524421</v>
      </c>
    </row>
    <row r="148" spans="1:5" x14ac:dyDescent="0.3">
      <c r="A148" t="s">
        <v>524</v>
      </c>
      <c r="B148" t="s">
        <v>643</v>
      </c>
      <c r="C148">
        <v>14.1</v>
      </c>
      <c r="D148">
        <v>1</v>
      </c>
      <c r="E148" s="10">
        <f t="shared" si="2"/>
        <v>0.8239117870465098</v>
      </c>
    </row>
    <row r="149" spans="1:5" x14ac:dyDescent="0.3">
      <c r="A149" t="s">
        <v>525</v>
      </c>
      <c r="B149" t="s">
        <v>643</v>
      </c>
      <c r="C149">
        <v>14</v>
      </c>
      <c r="D149">
        <v>1</v>
      </c>
      <c r="E149" s="10">
        <f t="shared" si="2"/>
        <v>0.7592418506524421</v>
      </c>
    </row>
    <row r="150" spans="1:5" x14ac:dyDescent="0.3">
      <c r="A150" t="s">
        <v>526</v>
      </c>
      <c r="B150" t="s">
        <v>643</v>
      </c>
      <c r="C150">
        <v>13.9</v>
      </c>
      <c r="D150">
        <v>4</v>
      </c>
      <c r="E150" s="10">
        <f t="shared" si="2"/>
        <v>0.69457191425837439</v>
      </c>
    </row>
    <row r="151" spans="1:5" x14ac:dyDescent="0.3">
      <c r="A151" t="s">
        <v>527</v>
      </c>
      <c r="B151" t="s">
        <v>643</v>
      </c>
      <c r="C151">
        <v>13</v>
      </c>
      <c r="D151">
        <v>2</v>
      </c>
      <c r="E151" s="10">
        <f t="shared" si="2"/>
        <v>0.1125424867117631</v>
      </c>
    </row>
    <row r="152" spans="1:5" x14ac:dyDescent="0.3">
      <c r="A152" t="s">
        <v>528</v>
      </c>
      <c r="B152" t="s">
        <v>643</v>
      </c>
      <c r="C152">
        <v>13.1</v>
      </c>
      <c r="D152">
        <v>2</v>
      </c>
      <c r="E152" s="10">
        <f t="shared" si="2"/>
        <v>0.17721242310583077</v>
      </c>
    </row>
    <row r="153" spans="1:5" x14ac:dyDescent="0.3">
      <c r="A153" t="s">
        <v>529</v>
      </c>
      <c r="B153" t="s">
        <v>643</v>
      </c>
      <c r="C153">
        <v>13.1</v>
      </c>
      <c r="D153">
        <v>2</v>
      </c>
      <c r="E153" s="10">
        <f t="shared" si="2"/>
        <v>0.17721242310583077</v>
      </c>
    </row>
    <row r="154" spans="1:5" x14ac:dyDescent="0.3">
      <c r="A154" t="s">
        <v>530</v>
      </c>
      <c r="B154" t="s">
        <v>642</v>
      </c>
      <c r="C154">
        <v>9.9</v>
      </c>
      <c r="D154">
        <v>4</v>
      </c>
      <c r="E154" s="10">
        <f t="shared" si="2"/>
        <v>-1.8922255415043416</v>
      </c>
    </row>
    <row r="155" spans="1:5" x14ac:dyDescent="0.3">
      <c r="A155" t="s">
        <v>531</v>
      </c>
      <c r="B155" t="s">
        <v>643</v>
      </c>
      <c r="C155">
        <v>15.1</v>
      </c>
      <c r="D155">
        <v>1</v>
      </c>
      <c r="E155" s="10">
        <f t="shared" si="2"/>
        <v>1.4706111509871886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Views>
    <sheetView workbookViewId="0">
      <selection activeCell="H11" sqref="F11:H11"/>
    </sheetView>
  </sheetViews>
  <sheetFormatPr defaultRowHeight="14.4" x14ac:dyDescent="0.3"/>
  <cols>
    <col min="1" max="1" width="21.6640625" bestFit="1" customWidth="1"/>
    <col min="2" max="2" width="24.109375" bestFit="1" customWidth="1"/>
    <col min="4" max="4" width="11.77734375" bestFit="1" customWidth="1"/>
    <col min="5" max="5" width="9.5546875" customWidth="1"/>
    <col min="6" max="6" width="22" style="8" bestFit="1" customWidth="1"/>
    <col min="7" max="7" width="26.33203125" bestFit="1" customWidth="1"/>
    <col min="8" max="8" width="15.109375" customWidth="1"/>
  </cols>
  <sheetData>
    <row r="1" spans="1:11" ht="15.6" x14ac:dyDescent="0.3">
      <c r="A1" s="2" t="s">
        <v>636</v>
      </c>
      <c r="B1" s="2" t="s">
        <v>0</v>
      </c>
      <c r="C1" s="2" t="s">
        <v>1</v>
      </c>
      <c r="D1" s="2" t="s">
        <v>2</v>
      </c>
      <c r="E1" s="4" t="s">
        <v>652</v>
      </c>
    </row>
    <row r="2" spans="1:11" ht="21" x14ac:dyDescent="0.4">
      <c r="A2" t="s">
        <v>198</v>
      </c>
      <c r="B2" t="s">
        <v>642</v>
      </c>
      <c r="C2">
        <v>10.9</v>
      </c>
      <c r="D2">
        <v>4</v>
      </c>
      <c r="E2" s="10">
        <f>STANDARDIZE(C2, AVERAGE($C$2:$C$242), _xlfn.STDEV.S($C$2:$C$242))</f>
        <v>0.10169170823564191</v>
      </c>
      <c r="G2" s="5" t="s">
        <v>640</v>
      </c>
    </row>
    <row r="3" spans="1:11" x14ac:dyDescent="0.3">
      <c r="A3" t="s">
        <v>199</v>
      </c>
      <c r="B3" t="s">
        <v>643</v>
      </c>
      <c r="C3">
        <v>10.3</v>
      </c>
      <c r="D3">
        <v>1</v>
      </c>
      <c r="E3" s="10">
        <f t="shared" ref="E3:E66" si="0">STANDARDIZE(C3, AVERAGE($C$2:$C$242), _xlfn.STDEV.S($C$2:$C$242))</f>
        <v>-0.32565087890246092</v>
      </c>
    </row>
    <row r="4" spans="1:11" ht="18" x14ac:dyDescent="0.35">
      <c r="A4" t="s">
        <v>200</v>
      </c>
      <c r="B4" t="s">
        <v>642</v>
      </c>
      <c r="C4">
        <v>12.4</v>
      </c>
      <c r="D4">
        <v>2</v>
      </c>
      <c r="E4" s="10">
        <f t="shared" si="0"/>
        <v>1.1700481760808996</v>
      </c>
      <c r="G4" s="3" t="s">
        <v>641</v>
      </c>
    </row>
    <row r="5" spans="1:11" ht="18" x14ac:dyDescent="0.35">
      <c r="A5" t="s">
        <v>201</v>
      </c>
      <c r="B5" t="s">
        <v>643</v>
      </c>
      <c r="C5">
        <v>10.8</v>
      </c>
      <c r="D5">
        <v>1</v>
      </c>
      <c r="E5" s="10">
        <f t="shared" si="0"/>
        <v>3.0467943712624984E-2</v>
      </c>
      <c r="G5" s="3" t="s">
        <v>642</v>
      </c>
      <c r="H5" s="3" t="s">
        <v>638</v>
      </c>
      <c r="J5" s="1" t="s">
        <v>661</v>
      </c>
      <c r="K5" s="6">
        <f>H9-G9</f>
        <v>0.53939393939394087</v>
      </c>
    </row>
    <row r="6" spans="1:11" ht="18" x14ac:dyDescent="0.35">
      <c r="A6" t="s">
        <v>202</v>
      </c>
      <c r="B6" t="s">
        <v>642</v>
      </c>
      <c r="C6">
        <v>11</v>
      </c>
      <c r="D6">
        <v>3</v>
      </c>
      <c r="E6" s="10">
        <f t="shared" si="0"/>
        <v>0.17291547275865884</v>
      </c>
      <c r="F6" s="3" t="s">
        <v>639</v>
      </c>
      <c r="G6" s="9">
        <f>COUNTIFS(B2:B245, "SOC", D2:D245, "=1")</f>
        <v>13</v>
      </c>
      <c r="H6" s="9">
        <f>COUNTIFS(B2:B245,"LAMP", D2:D245,"=1")</f>
        <v>33</v>
      </c>
      <c r="J6" s="1" t="s">
        <v>663</v>
      </c>
      <c r="K6" s="1">
        <f>SQRT(G11/G6+H11/H6)</f>
        <v>0.49414581612028008</v>
      </c>
    </row>
    <row r="7" spans="1:11" ht="18" x14ac:dyDescent="0.35">
      <c r="A7" t="s">
        <v>203</v>
      </c>
      <c r="B7" t="s">
        <v>643</v>
      </c>
      <c r="C7">
        <v>7.5</v>
      </c>
      <c r="D7">
        <v>2</v>
      </c>
      <c r="E7" s="10">
        <f t="shared" si="0"/>
        <v>-2.3199162855469426</v>
      </c>
      <c r="F7" s="3" t="s">
        <v>644</v>
      </c>
      <c r="G7" s="9">
        <f>COUNTIFS(B2:B245, "SOC", D2:D245, "=1", C2:C245, "&lt;11")</f>
        <v>8</v>
      </c>
      <c r="H7" s="9">
        <f>COUNTIFS(B2:B245, "LAMP", D2:D245, "=1", C2:C245, "&lt;11")</f>
        <v>16</v>
      </c>
      <c r="J7" s="1" t="s">
        <v>665</v>
      </c>
      <c r="K7" s="1">
        <f>(K5-0)/K6</f>
        <v>1.0915683626119115</v>
      </c>
    </row>
    <row r="8" spans="1:11" ht="18" x14ac:dyDescent="0.35">
      <c r="A8" t="s">
        <v>204</v>
      </c>
      <c r="B8" t="s">
        <v>643</v>
      </c>
      <c r="C8">
        <v>8.3000000000000007</v>
      </c>
      <c r="D8">
        <v>1</v>
      </c>
      <c r="E8" s="10">
        <f t="shared" si="0"/>
        <v>-1.7501261693628047</v>
      </c>
      <c r="F8" s="3" t="s">
        <v>645</v>
      </c>
      <c r="G8" s="12">
        <f>G7/G6*100</f>
        <v>61.53846153846154</v>
      </c>
      <c r="H8" s="12">
        <f>H7/G6*100</f>
        <v>123.07692307692308</v>
      </c>
      <c r="J8" s="1" t="s">
        <v>667</v>
      </c>
      <c r="K8" s="1">
        <f>G6-1</f>
        <v>12</v>
      </c>
    </row>
    <row r="9" spans="1:11" ht="18" x14ac:dyDescent="0.35">
      <c r="A9" t="s">
        <v>205</v>
      </c>
      <c r="B9" t="s">
        <v>642</v>
      </c>
      <c r="C9">
        <v>12.9</v>
      </c>
      <c r="D9">
        <v>3</v>
      </c>
      <c r="E9" s="10">
        <f t="shared" si="0"/>
        <v>1.5261669986959856</v>
      </c>
      <c r="F9" s="3" t="s">
        <v>646</v>
      </c>
      <c r="G9" s="12">
        <f>AVERAGEIFS(C2:C245, B2:B245,"SOC", D2:D245, "=1")</f>
        <v>10.199999999999999</v>
      </c>
      <c r="H9" s="12">
        <f>AVERAGEIFS(C2:C245, B2:B245,"LAMP", D2:D245, "=1")</f>
        <v>10.73939393939394</v>
      </c>
      <c r="J9" s="1" t="s">
        <v>669</v>
      </c>
      <c r="K9" s="1">
        <f>_xlfn.T.DIST(K7,K8,TRUE)</f>
        <v>0.85177268197288569</v>
      </c>
    </row>
    <row r="10" spans="1:11" ht="18" x14ac:dyDescent="0.35">
      <c r="A10" t="s">
        <v>206</v>
      </c>
      <c r="B10" t="s">
        <v>642</v>
      </c>
      <c r="C10">
        <v>9.8000000000000007</v>
      </c>
      <c r="D10">
        <v>1</v>
      </c>
      <c r="E10" s="10">
        <f t="shared" si="0"/>
        <v>-0.6817697015175469</v>
      </c>
      <c r="F10" s="3" t="s">
        <v>647</v>
      </c>
      <c r="G10" s="12">
        <f t="array" ref="G10">_xlfn.STDEV.S(IF(IF($B$2:B$245="SOC",$C$2:$C$245),IF($D$2:$D$245=1,$C$2:$C$245)))</f>
        <v>1.4871673297469468</v>
      </c>
      <c r="H10" s="12">
        <f t="array" ref="H10">_xlfn.STDEV.S(IF(IF($B$2:B$245="LAMP",$C$2:$C$245),IF($D$2:$D$245=1,$C$2:$C$245)))</f>
        <v>1.5632377046412684</v>
      </c>
    </row>
    <row r="11" spans="1:11" ht="18" x14ac:dyDescent="0.35">
      <c r="A11" t="s">
        <v>207</v>
      </c>
      <c r="B11" t="s">
        <v>642</v>
      </c>
      <c r="C11">
        <v>9.4</v>
      </c>
      <c r="D11">
        <v>1</v>
      </c>
      <c r="E11" s="10">
        <f t="shared" si="0"/>
        <v>-0.96666475960961584</v>
      </c>
      <c r="F11" s="3" t="s">
        <v>653</v>
      </c>
      <c r="G11" s="7">
        <f t="array" ref="G11">_xlfn.VAR.S((IF(IF($B$2:B$245="SOC",$C$2:$C$245),IF($D$2:$D$245=1,$C$2:$C$245))))</f>
        <v>2.2116666666666638</v>
      </c>
      <c r="H11" s="7">
        <f t="array" ref="H11">_xlfn.VAR.S((IF(IF($B$2:B$245="LAMP",$C$2:$C$245),IF($D$2:$D$245=1,$C$2:$C$245))))</f>
        <v>2.4437121212121014</v>
      </c>
    </row>
    <row r="12" spans="1:11" x14ac:dyDescent="0.3">
      <c r="A12" t="s">
        <v>208</v>
      </c>
      <c r="B12" t="s">
        <v>642</v>
      </c>
      <c r="C12">
        <v>10.4</v>
      </c>
      <c r="D12">
        <v>5</v>
      </c>
      <c r="E12" s="10">
        <f t="shared" si="0"/>
        <v>-0.25442711437944399</v>
      </c>
    </row>
    <row r="13" spans="1:11" x14ac:dyDescent="0.3">
      <c r="A13" t="s">
        <v>209</v>
      </c>
      <c r="B13" t="s">
        <v>643</v>
      </c>
      <c r="C13">
        <v>8.6999999999999993</v>
      </c>
      <c r="D13">
        <v>3</v>
      </c>
      <c r="E13" s="10">
        <f t="shared" si="0"/>
        <v>-1.465231111270737</v>
      </c>
    </row>
    <row r="14" spans="1:11" ht="18" x14ac:dyDescent="0.35">
      <c r="A14" t="s">
        <v>210</v>
      </c>
      <c r="B14" t="s">
        <v>643</v>
      </c>
      <c r="C14">
        <v>11.4</v>
      </c>
      <c r="D14">
        <v>2</v>
      </c>
      <c r="E14" s="10">
        <f t="shared" si="0"/>
        <v>0.45781053085072787</v>
      </c>
      <c r="G14" s="3" t="s">
        <v>637</v>
      </c>
    </row>
    <row r="15" spans="1:11" ht="18" x14ac:dyDescent="0.35">
      <c r="A15" t="s">
        <v>211</v>
      </c>
      <c r="B15" t="s">
        <v>643</v>
      </c>
      <c r="C15">
        <v>10.6</v>
      </c>
      <c r="D15">
        <v>2</v>
      </c>
      <c r="E15" s="10">
        <f t="shared" si="0"/>
        <v>-0.11197958533341014</v>
      </c>
      <c r="G15" s="3" t="s">
        <v>642</v>
      </c>
      <c r="H15" s="3" t="s">
        <v>638</v>
      </c>
    </row>
    <row r="16" spans="1:11" ht="18" x14ac:dyDescent="0.35">
      <c r="A16" t="s">
        <v>212</v>
      </c>
      <c r="B16" t="s">
        <v>643</v>
      </c>
      <c r="C16">
        <v>11.8</v>
      </c>
      <c r="D16">
        <v>5</v>
      </c>
      <c r="E16" s="10">
        <f t="shared" si="0"/>
        <v>0.74270558894279681</v>
      </c>
      <c r="F16" s="3" t="s">
        <v>639</v>
      </c>
      <c r="G16" s="9">
        <f>COUNTIFS(B2:B255,"SOC", D2:D255, "&gt;=2")</f>
        <v>46</v>
      </c>
      <c r="H16" s="9">
        <f>COUNTIFS(B2:B255,"LAMP", D2:D255,"&gt;=2")</f>
        <v>88</v>
      </c>
      <c r="J16" s="1" t="s">
        <v>661</v>
      </c>
      <c r="K16" s="6">
        <f>H19-G19</f>
        <v>-5.227272727272414E-2</v>
      </c>
    </row>
    <row r="17" spans="1:11" ht="18" x14ac:dyDescent="0.35">
      <c r="A17" t="s">
        <v>213</v>
      </c>
      <c r="B17" t="s">
        <v>643</v>
      </c>
      <c r="C17">
        <v>12.4</v>
      </c>
      <c r="D17">
        <v>1</v>
      </c>
      <c r="E17" s="10">
        <f t="shared" si="0"/>
        <v>1.1700481760808996</v>
      </c>
      <c r="F17" s="3" t="s">
        <v>644</v>
      </c>
      <c r="G17" s="9">
        <f>COUNTIFS(B2:B255, "SOC", D2:D255, "&gt;=2", C2:C255, "&lt;11")</f>
        <v>24</v>
      </c>
      <c r="H17" s="9">
        <f>COUNTIFS(B2:B255, "LAMP", D2:D255, "&gt;=2", C2:C255, "&lt;11")</f>
        <v>44</v>
      </c>
      <c r="J17" s="1" t="s">
        <v>663</v>
      </c>
      <c r="K17" s="1">
        <f>SQRT(G21/G16+H21/H16)</f>
        <v>0.24412501075599483</v>
      </c>
    </row>
    <row r="18" spans="1:11" ht="18" x14ac:dyDescent="0.35">
      <c r="A18" t="s">
        <v>214</v>
      </c>
      <c r="B18" t="s">
        <v>642</v>
      </c>
      <c r="C18">
        <v>7.6</v>
      </c>
      <c r="D18">
        <v>1</v>
      </c>
      <c r="E18" s="10">
        <f t="shared" si="0"/>
        <v>-2.2486925210239259</v>
      </c>
      <c r="F18" s="3" t="s">
        <v>645</v>
      </c>
      <c r="G18" s="12">
        <f>G17/G16*100</f>
        <v>52.173913043478258</v>
      </c>
      <c r="H18" s="12">
        <f>H17/G16*100</f>
        <v>95.652173913043484</v>
      </c>
      <c r="J18" s="1" t="s">
        <v>665</v>
      </c>
      <c r="K18" s="1">
        <f>(K16-0)/K17</f>
        <v>-0.21412278533382723</v>
      </c>
    </row>
    <row r="19" spans="1:11" ht="18" x14ac:dyDescent="0.35">
      <c r="A19" t="s">
        <v>215</v>
      </c>
      <c r="B19" t="s">
        <v>643</v>
      </c>
      <c r="C19">
        <v>10.3</v>
      </c>
      <c r="D19">
        <v>2</v>
      </c>
      <c r="E19" s="10">
        <f t="shared" si="0"/>
        <v>-0.32565087890246092</v>
      </c>
      <c r="F19" s="3" t="s">
        <v>646</v>
      </c>
      <c r="G19" s="12">
        <f>AVERAGEIFS(C2:C255, B2:B255,"SOC", D2:D255, "&gt;=2")</f>
        <v>10.849999999999996</v>
      </c>
      <c r="H19" s="12">
        <f>AVERAGEIFS(C2:C255, B2:B255,"LAMP", D2:D255, "&gt;=2")</f>
        <v>10.797727272727272</v>
      </c>
      <c r="J19" s="1" t="s">
        <v>667</v>
      </c>
      <c r="K19" s="1">
        <f>G16-1</f>
        <v>45</v>
      </c>
    </row>
    <row r="20" spans="1:11" ht="18" x14ac:dyDescent="0.35">
      <c r="A20" t="s">
        <v>216</v>
      </c>
      <c r="B20" t="s">
        <v>642</v>
      </c>
      <c r="C20">
        <v>10.3</v>
      </c>
      <c r="D20">
        <v>4</v>
      </c>
      <c r="E20" s="10">
        <f t="shared" si="0"/>
        <v>-0.32565087890246092</v>
      </c>
      <c r="F20" s="3" t="s">
        <v>647</v>
      </c>
      <c r="G20" s="12">
        <f t="array" ref="G20">_xlfn.STDEV.S(IF(IF($B$2:B$245="SOC",$C$2:$C$245),IF($D$2:$D$245&gt;=2,$C$2:$C$245)))</f>
        <v>1.3235893958811209</v>
      </c>
      <c r="H20" s="12">
        <f t="array" ref="H20">_xlfn.STDEV.S(IF(IF($B$2:B$245="LAMP",$C$2:$C$245),IF($D$2:$D$245&gt;=2,$C$2:$C$245)))</f>
        <v>1.3758990601113863</v>
      </c>
      <c r="J20" s="1" t="s">
        <v>669</v>
      </c>
      <c r="K20" s="1">
        <f>_xlfn.T.DIST(K18,K19,TRUE)</f>
        <v>0.41570930498360997</v>
      </c>
    </row>
    <row r="21" spans="1:11" ht="15.6" x14ac:dyDescent="0.3">
      <c r="A21" t="s">
        <v>217</v>
      </c>
      <c r="B21" t="s">
        <v>643</v>
      </c>
      <c r="C21">
        <v>11.4</v>
      </c>
      <c r="D21">
        <v>4</v>
      </c>
      <c r="E21" s="10">
        <f t="shared" si="0"/>
        <v>0.45781053085072787</v>
      </c>
      <c r="F21" s="4" t="s">
        <v>653</v>
      </c>
      <c r="G21" s="7">
        <f t="array" ref="G21">_xlfn.VAR.S((IF(IF($B$2:B$245="SOC",$C$2:$C$245),IF($D$2:$D$245&gt;=2,$C$2:$C$245))))</f>
        <v>1.7518888888889503</v>
      </c>
      <c r="H21" s="7">
        <f t="array" ref="H21">_xlfn.VAR.S((IF(IF($B$2:B$400="LAMP",$C$2:$C$400),IF($D$2:$D$400&gt;=2,$C$2:$C$400))))</f>
        <v>1.8930982236153964</v>
      </c>
    </row>
    <row r="22" spans="1:11" x14ac:dyDescent="0.3">
      <c r="A22" t="s">
        <v>218</v>
      </c>
      <c r="B22" t="s">
        <v>643</v>
      </c>
      <c r="C22">
        <v>6.8</v>
      </c>
      <c r="D22">
        <v>1</v>
      </c>
      <c r="E22" s="10">
        <f t="shared" si="0"/>
        <v>-2.8184826372080631</v>
      </c>
    </row>
    <row r="23" spans="1:11" x14ac:dyDescent="0.3">
      <c r="A23" t="s">
        <v>219</v>
      </c>
      <c r="B23" t="s">
        <v>643</v>
      </c>
      <c r="C23">
        <v>10.5</v>
      </c>
      <c r="D23">
        <v>3</v>
      </c>
      <c r="E23" s="10">
        <f t="shared" si="0"/>
        <v>-0.18320334985642708</v>
      </c>
    </row>
    <row r="24" spans="1:11" x14ac:dyDescent="0.3">
      <c r="A24" t="s">
        <v>220</v>
      </c>
      <c r="B24" t="s">
        <v>643</v>
      </c>
      <c r="C24">
        <v>10.7</v>
      </c>
      <c r="D24">
        <v>1</v>
      </c>
      <c r="E24" s="10">
        <f t="shared" si="0"/>
        <v>-4.0755820810393209E-2</v>
      </c>
    </row>
    <row r="25" spans="1:11" x14ac:dyDescent="0.3">
      <c r="A25" t="s">
        <v>221</v>
      </c>
      <c r="B25" t="s">
        <v>643</v>
      </c>
      <c r="C25">
        <v>12.8</v>
      </c>
      <c r="D25">
        <v>6</v>
      </c>
      <c r="E25" s="10">
        <f t="shared" si="0"/>
        <v>1.4549432341729687</v>
      </c>
    </row>
    <row r="26" spans="1:11" x14ac:dyDescent="0.3">
      <c r="A26" t="s">
        <v>222</v>
      </c>
      <c r="B26" t="s">
        <v>642</v>
      </c>
      <c r="C26">
        <v>8.9</v>
      </c>
      <c r="D26">
        <v>1</v>
      </c>
      <c r="E26" s="10">
        <f t="shared" si="0"/>
        <v>-1.3227835822247018</v>
      </c>
    </row>
    <row r="27" spans="1:11" ht="18" x14ac:dyDescent="0.35">
      <c r="A27" t="s">
        <v>223</v>
      </c>
      <c r="B27" t="s">
        <v>643</v>
      </c>
      <c r="C27">
        <v>10.4</v>
      </c>
      <c r="D27">
        <v>2</v>
      </c>
      <c r="E27" s="10">
        <f t="shared" si="0"/>
        <v>-0.25442711437944399</v>
      </c>
      <c r="G27" s="9" t="s">
        <v>649</v>
      </c>
    </row>
    <row r="28" spans="1:11" x14ac:dyDescent="0.3">
      <c r="A28" t="s">
        <v>224</v>
      </c>
      <c r="B28" t="s">
        <v>643</v>
      </c>
      <c r="C28">
        <v>11</v>
      </c>
      <c r="D28">
        <v>3</v>
      </c>
      <c r="E28" s="10">
        <f t="shared" si="0"/>
        <v>0.17291547275865884</v>
      </c>
    </row>
    <row r="29" spans="1:11" ht="18" x14ac:dyDescent="0.35">
      <c r="A29" t="s">
        <v>225</v>
      </c>
      <c r="B29" t="s">
        <v>643</v>
      </c>
      <c r="C29">
        <v>12.3</v>
      </c>
      <c r="D29">
        <v>3</v>
      </c>
      <c r="E29" s="10">
        <f t="shared" si="0"/>
        <v>1.0988244115578827</v>
      </c>
      <c r="G29" s="3" t="s">
        <v>642</v>
      </c>
      <c r="H29" s="3" t="s">
        <v>648</v>
      </c>
    </row>
    <row r="30" spans="1:11" ht="18" x14ac:dyDescent="0.35">
      <c r="A30" t="s">
        <v>226</v>
      </c>
      <c r="B30" t="s">
        <v>642</v>
      </c>
      <c r="C30">
        <v>10.6</v>
      </c>
      <c r="D30">
        <v>1</v>
      </c>
      <c r="E30" s="10">
        <f t="shared" si="0"/>
        <v>-0.11197958533341014</v>
      </c>
      <c r="F30" s="3" t="s">
        <v>639</v>
      </c>
      <c r="G30" s="9">
        <f>COUNTIFS(B2:B245,"SOC")</f>
        <v>59</v>
      </c>
      <c r="H30" s="9">
        <f>COUNTIFS(B2:B245,"LAMP")</f>
        <v>121</v>
      </c>
      <c r="J30" s="1" t="s">
        <v>661</v>
      </c>
      <c r="K30" s="6">
        <f>H33-G33</f>
        <v>7.5038520801227193E-2</v>
      </c>
    </row>
    <row r="31" spans="1:11" ht="18" x14ac:dyDescent="0.35">
      <c r="A31" t="s">
        <v>227</v>
      </c>
      <c r="B31" t="s">
        <v>643</v>
      </c>
      <c r="C31">
        <v>10.4</v>
      </c>
      <c r="D31">
        <v>4</v>
      </c>
      <c r="E31" s="10">
        <f t="shared" si="0"/>
        <v>-0.25442711437944399</v>
      </c>
      <c r="F31" s="3" t="s">
        <v>644</v>
      </c>
      <c r="G31" s="9">
        <f>COUNTIFS(B2:B255, "SOC", C2:C255, "&lt;11")</f>
        <v>32</v>
      </c>
      <c r="H31" s="9">
        <f>COUNTIFS(B2:B255, "LAMP", C2:C255, "&lt;11")</f>
        <v>60</v>
      </c>
      <c r="J31" s="1" t="s">
        <v>663</v>
      </c>
      <c r="K31" s="1">
        <f>SQRT(G35/G30+H35/H30)</f>
        <v>0.220859581354416</v>
      </c>
    </row>
    <row r="32" spans="1:11" ht="18" x14ac:dyDescent="0.35">
      <c r="A32" t="s">
        <v>228</v>
      </c>
      <c r="B32" t="s">
        <v>642</v>
      </c>
      <c r="C32">
        <v>11.5</v>
      </c>
      <c r="D32">
        <v>3</v>
      </c>
      <c r="E32" s="10">
        <f t="shared" si="0"/>
        <v>0.5290342953737448</v>
      </c>
      <c r="F32" s="3" t="s">
        <v>645</v>
      </c>
      <c r="G32" s="12">
        <f>G31/G30*100</f>
        <v>54.237288135593218</v>
      </c>
      <c r="H32" s="12">
        <f>H31/H30*100</f>
        <v>49.586776859504134</v>
      </c>
      <c r="J32" s="1" t="s">
        <v>665</v>
      </c>
      <c r="K32" s="1">
        <f>(K30-0)/K31</f>
        <v>0.33975669219807125</v>
      </c>
    </row>
    <row r="33" spans="1:11" ht="18" x14ac:dyDescent="0.35">
      <c r="A33" t="s">
        <v>229</v>
      </c>
      <c r="B33" t="s">
        <v>643</v>
      </c>
      <c r="C33">
        <v>11.5</v>
      </c>
      <c r="D33">
        <v>5</v>
      </c>
      <c r="E33" s="10">
        <f t="shared" si="0"/>
        <v>0.5290342953737448</v>
      </c>
      <c r="F33" s="3" t="s">
        <v>646</v>
      </c>
      <c r="G33" s="12">
        <f>AVERAGEIFS(C2:C255, B2:B255,"SOC")</f>
        <v>10.706779661016949</v>
      </c>
      <c r="H33" s="12">
        <f>AVERAGEIFS(C2:C255, B2:B255,"LAMP")</f>
        <v>10.781818181818176</v>
      </c>
      <c r="J33" s="1" t="s">
        <v>667</v>
      </c>
      <c r="K33" s="1">
        <f>G30-1</f>
        <v>58</v>
      </c>
    </row>
    <row r="34" spans="1:11" ht="18" x14ac:dyDescent="0.35">
      <c r="A34" t="s">
        <v>230</v>
      </c>
      <c r="B34" t="s">
        <v>642</v>
      </c>
      <c r="C34">
        <v>11.1</v>
      </c>
      <c r="D34">
        <v>4</v>
      </c>
      <c r="E34" s="10">
        <f t="shared" si="0"/>
        <v>0.24413923728167577</v>
      </c>
      <c r="F34" s="3" t="s">
        <v>647</v>
      </c>
      <c r="G34" s="12">
        <f t="array" ref="G34">_xlfn.STDEV.S(IF($B$2:B$245="SOC",$C$2:$C$245))</f>
        <v>1.3750065086716947</v>
      </c>
      <c r="H34" s="12">
        <f t="array" ref="H34">_xlfn.STDEV.S(IF($B$2:B$245="LAMP",$C$2:$C$245))</f>
        <v>1.4229663851733994</v>
      </c>
      <c r="J34" s="1" t="s">
        <v>669</v>
      </c>
      <c r="K34" s="1">
        <f>_xlfn.T.DIST(K32,K33,TRUE)</f>
        <v>0.63236646460159684</v>
      </c>
    </row>
    <row r="35" spans="1:11" ht="18" x14ac:dyDescent="0.35">
      <c r="A35" t="s">
        <v>231</v>
      </c>
      <c r="B35" t="s">
        <v>643</v>
      </c>
      <c r="C35">
        <v>12.2</v>
      </c>
      <c r="D35">
        <v>2</v>
      </c>
      <c r="E35" s="10">
        <f t="shared" si="0"/>
        <v>1.0276006470348646</v>
      </c>
      <c r="F35" s="3" t="s">
        <v>653</v>
      </c>
      <c r="G35" s="7">
        <f t="array" ref="G35">_xlfn.VAR.S(IF($B$2:B$400="SOC",$C$2:$C$400))</f>
        <v>1.8906428988895234</v>
      </c>
      <c r="H35" s="7">
        <f t="array" ref="H35">_xlfn.VAR.S(IF($B$2:B$400="LAMP",$C$2:$C$400))</f>
        <v>2.0248333333334512</v>
      </c>
    </row>
    <row r="36" spans="1:11" x14ac:dyDescent="0.3">
      <c r="A36" t="s">
        <v>232</v>
      </c>
      <c r="B36" t="s">
        <v>642</v>
      </c>
      <c r="C36">
        <v>12.1</v>
      </c>
      <c r="D36">
        <v>2</v>
      </c>
      <c r="E36" s="10">
        <f t="shared" si="0"/>
        <v>0.9563768825118476</v>
      </c>
    </row>
    <row r="37" spans="1:11" x14ac:dyDescent="0.3">
      <c r="A37" t="s">
        <v>233</v>
      </c>
      <c r="B37" t="s">
        <v>642</v>
      </c>
      <c r="C37">
        <v>9.8000000000000007</v>
      </c>
      <c r="D37">
        <v>1</v>
      </c>
      <c r="E37" s="10">
        <f t="shared" si="0"/>
        <v>-0.6817697015175469</v>
      </c>
    </row>
    <row r="38" spans="1:11" x14ac:dyDescent="0.3">
      <c r="A38" t="s">
        <v>234</v>
      </c>
      <c r="B38" t="s">
        <v>643</v>
      </c>
      <c r="C38">
        <v>11.9</v>
      </c>
      <c r="D38">
        <v>1</v>
      </c>
      <c r="E38" s="10">
        <f t="shared" si="0"/>
        <v>0.81392935346581374</v>
      </c>
    </row>
    <row r="39" spans="1:11" x14ac:dyDescent="0.3">
      <c r="A39" t="s">
        <v>235</v>
      </c>
      <c r="B39" t="s">
        <v>642</v>
      </c>
      <c r="C39">
        <v>11.1</v>
      </c>
      <c r="D39">
        <v>4</v>
      </c>
      <c r="E39" s="10">
        <f t="shared" si="0"/>
        <v>0.24413923728167577</v>
      </c>
    </row>
    <row r="40" spans="1:11" ht="18" x14ac:dyDescent="0.35">
      <c r="A40" t="s">
        <v>236</v>
      </c>
      <c r="B40" t="s">
        <v>643</v>
      </c>
      <c r="C40">
        <v>10.4</v>
      </c>
      <c r="D40">
        <v>1</v>
      </c>
      <c r="E40" s="10">
        <f t="shared" si="0"/>
        <v>-0.25442711437944399</v>
      </c>
      <c r="G40" s="3" t="s">
        <v>650</v>
      </c>
    </row>
    <row r="41" spans="1:11" x14ac:dyDescent="0.3">
      <c r="A41" t="s">
        <v>237</v>
      </c>
      <c r="B41" t="s">
        <v>643</v>
      </c>
      <c r="C41">
        <v>13.4</v>
      </c>
      <c r="D41">
        <v>4</v>
      </c>
      <c r="E41" s="10">
        <f t="shared" si="0"/>
        <v>1.8822858213110716</v>
      </c>
    </row>
    <row r="42" spans="1:11" ht="18" x14ac:dyDescent="0.35">
      <c r="A42" t="s">
        <v>238</v>
      </c>
      <c r="B42" t="s">
        <v>643</v>
      </c>
      <c r="C42">
        <v>11.4</v>
      </c>
      <c r="D42">
        <v>3</v>
      </c>
      <c r="E42" s="10">
        <f t="shared" si="0"/>
        <v>0.45781053085072787</v>
      </c>
      <c r="F42" s="3" t="s">
        <v>639</v>
      </c>
      <c r="G42" s="9">
        <v>180</v>
      </c>
    </row>
    <row r="43" spans="1:11" ht="18" x14ac:dyDescent="0.35">
      <c r="A43" t="s">
        <v>239</v>
      </c>
      <c r="B43" t="s">
        <v>643</v>
      </c>
      <c r="C43">
        <v>10.9</v>
      </c>
      <c r="D43">
        <v>2</v>
      </c>
      <c r="E43" s="10">
        <f t="shared" si="0"/>
        <v>0.10169170823564191</v>
      </c>
      <c r="F43" s="3" t="s">
        <v>646</v>
      </c>
      <c r="G43" s="12">
        <f>AVERAGE(C2:C200)</f>
        <v>10.757222222222222</v>
      </c>
    </row>
    <row r="44" spans="1:11" ht="18" x14ac:dyDescent="0.35">
      <c r="A44" t="s">
        <v>240</v>
      </c>
      <c r="B44" t="s">
        <v>642</v>
      </c>
      <c r="C44">
        <v>10.6</v>
      </c>
      <c r="D44">
        <v>6</v>
      </c>
      <c r="E44" s="10">
        <f t="shared" si="0"/>
        <v>-0.11197958533341014</v>
      </c>
      <c r="F44" s="3" t="s">
        <v>651</v>
      </c>
      <c r="G44" s="12">
        <f>_xlfn.STDEV.S(C2:C200)</f>
        <v>1.4040257583925275</v>
      </c>
    </row>
    <row r="45" spans="1:11" ht="18" x14ac:dyDescent="0.35">
      <c r="A45" t="s">
        <v>241</v>
      </c>
      <c r="B45" t="s">
        <v>642</v>
      </c>
      <c r="C45">
        <v>12.7</v>
      </c>
      <c r="D45">
        <v>4</v>
      </c>
      <c r="E45" s="10">
        <f t="shared" si="0"/>
        <v>1.3837194696499504</v>
      </c>
      <c r="F45" s="3" t="s">
        <v>644</v>
      </c>
      <c r="G45" s="9">
        <f>COUNTIFS( C2:C255, "&lt;11")</f>
        <v>92</v>
      </c>
    </row>
    <row r="46" spans="1:11" ht="18" x14ac:dyDescent="0.35">
      <c r="A46" t="s">
        <v>242</v>
      </c>
      <c r="B46" t="s">
        <v>643</v>
      </c>
      <c r="C46">
        <v>10.199999999999999</v>
      </c>
      <c r="D46">
        <v>1</v>
      </c>
      <c r="E46" s="10">
        <f t="shared" si="0"/>
        <v>-0.39687464342547912</v>
      </c>
      <c r="F46" s="3" t="s">
        <v>645</v>
      </c>
      <c r="G46" s="12">
        <f>G45/G42*100</f>
        <v>51.111111111111107</v>
      </c>
    </row>
    <row r="47" spans="1:11" x14ac:dyDescent="0.3">
      <c r="A47" t="s">
        <v>243</v>
      </c>
      <c r="B47" t="s">
        <v>642</v>
      </c>
      <c r="C47">
        <v>10.5</v>
      </c>
      <c r="D47">
        <v>3</v>
      </c>
      <c r="E47" s="10">
        <f t="shared" si="0"/>
        <v>-0.18320334985642708</v>
      </c>
    </row>
    <row r="48" spans="1:11" x14ac:dyDescent="0.3">
      <c r="A48" t="s">
        <v>244</v>
      </c>
      <c r="B48" t="s">
        <v>643</v>
      </c>
      <c r="C48">
        <v>10.9</v>
      </c>
      <c r="D48">
        <v>6</v>
      </c>
      <c r="E48" s="10">
        <f t="shared" si="0"/>
        <v>0.10169170823564191</v>
      </c>
    </row>
    <row r="49" spans="1:5" x14ac:dyDescent="0.3">
      <c r="A49" t="s">
        <v>245</v>
      </c>
      <c r="B49" t="s">
        <v>643</v>
      </c>
      <c r="C49">
        <v>11.4</v>
      </c>
      <c r="D49">
        <v>2</v>
      </c>
      <c r="E49" s="10">
        <f t="shared" si="0"/>
        <v>0.45781053085072787</v>
      </c>
    </row>
    <row r="50" spans="1:5" x14ac:dyDescent="0.3">
      <c r="A50" t="s">
        <v>246</v>
      </c>
      <c r="B50" t="s">
        <v>643</v>
      </c>
      <c r="C50">
        <v>10.4</v>
      </c>
      <c r="D50">
        <v>2</v>
      </c>
      <c r="E50" s="10">
        <f t="shared" si="0"/>
        <v>-0.25442711437944399</v>
      </c>
    </row>
    <row r="51" spans="1:5" x14ac:dyDescent="0.3">
      <c r="A51" t="s">
        <v>247</v>
      </c>
      <c r="B51" t="s">
        <v>643</v>
      </c>
      <c r="C51">
        <v>9</v>
      </c>
      <c r="D51">
        <v>3</v>
      </c>
      <c r="E51" s="10">
        <f t="shared" si="0"/>
        <v>-1.2515598177016849</v>
      </c>
    </row>
    <row r="52" spans="1:5" x14ac:dyDescent="0.3">
      <c r="A52" t="s">
        <v>248</v>
      </c>
      <c r="B52" t="s">
        <v>643</v>
      </c>
      <c r="C52">
        <v>11.3</v>
      </c>
      <c r="D52">
        <v>1</v>
      </c>
      <c r="E52" s="10">
        <f t="shared" si="0"/>
        <v>0.38658676632771088</v>
      </c>
    </row>
    <row r="53" spans="1:5" x14ac:dyDescent="0.3">
      <c r="A53" t="s">
        <v>249</v>
      </c>
      <c r="B53" t="s">
        <v>642</v>
      </c>
      <c r="C53">
        <v>10.4</v>
      </c>
      <c r="D53">
        <v>2</v>
      </c>
      <c r="E53" s="10">
        <f t="shared" si="0"/>
        <v>-0.25442711437944399</v>
      </c>
    </row>
    <row r="54" spans="1:5" x14ac:dyDescent="0.3">
      <c r="A54" t="s">
        <v>250</v>
      </c>
      <c r="B54" t="s">
        <v>643</v>
      </c>
      <c r="C54">
        <v>11.2</v>
      </c>
      <c r="D54">
        <v>2</v>
      </c>
      <c r="E54" s="10">
        <f t="shared" si="0"/>
        <v>0.31536300180469273</v>
      </c>
    </row>
    <row r="55" spans="1:5" x14ac:dyDescent="0.3">
      <c r="A55" t="s">
        <v>251</v>
      </c>
      <c r="B55" t="s">
        <v>643</v>
      </c>
      <c r="C55">
        <v>10.9</v>
      </c>
      <c r="D55">
        <v>1</v>
      </c>
      <c r="E55" s="10">
        <f t="shared" si="0"/>
        <v>0.10169170823564191</v>
      </c>
    </row>
    <row r="56" spans="1:5" x14ac:dyDescent="0.3">
      <c r="A56" t="s">
        <v>252</v>
      </c>
      <c r="B56" t="s">
        <v>643</v>
      </c>
      <c r="C56">
        <v>10.3</v>
      </c>
      <c r="D56">
        <v>2</v>
      </c>
      <c r="E56" s="10">
        <f t="shared" si="0"/>
        <v>-0.32565087890246092</v>
      </c>
    </row>
    <row r="57" spans="1:5" x14ac:dyDescent="0.3">
      <c r="A57" t="s">
        <v>253</v>
      </c>
      <c r="B57" t="s">
        <v>642</v>
      </c>
      <c r="C57">
        <v>10.5</v>
      </c>
      <c r="D57">
        <v>2</v>
      </c>
      <c r="E57" s="10">
        <f t="shared" si="0"/>
        <v>-0.18320334985642708</v>
      </c>
    </row>
    <row r="58" spans="1:5" x14ac:dyDescent="0.3">
      <c r="A58" t="s">
        <v>254</v>
      </c>
      <c r="B58" t="s">
        <v>642</v>
      </c>
      <c r="C58">
        <v>11.5</v>
      </c>
      <c r="D58">
        <v>1</v>
      </c>
      <c r="E58" s="10">
        <f t="shared" si="0"/>
        <v>0.5290342953737448</v>
      </c>
    </row>
    <row r="59" spans="1:5" x14ac:dyDescent="0.3">
      <c r="A59" t="s">
        <v>255</v>
      </c>
      <c r="B59" t="s">
        <v>643</v>
      </c>
      <c r="C59">
        <v>11.2</v>
      </c>
      <c r="D59">
        <v>2</v>
      </c>
      <c r="E59" s="10">
        <f t="shared" si="0"/>
        <v>0.31536300180469273</v>
      </c>
    </row>
    <row r="60" spans="1:5" x14ac:dyDescent="0.3">
      <c r="A60" t="s">
        <v>256</v>
      </c>
      <c r="B60" t="s">
        <v>643</v>
      </c>
      <c r="C60">
        <v>11</v>
      </c>
      <c r="D60">
        <v>1</v>
      </c>
      <c r="E60" s="10">
        <f t="shared" si="0"/>
        <v>0.17291547275865884</v>
      </c>
    </row>
    <row r="61" spans="1:5" x14ac:dyDescent="0.3">
      <c r="A61" t="s">
        <v>257</v>
      </c>
      <c r="B61" t="s">
        <v>643</v>
      </c>
      <c r="C61">
        <v>10.4</v>
      </c>
      <c r="D61">
        <v>1</v>
      </c>
      <c r="E61" s="10">
        <f t="shared" si="0"/>
        <v>-0.25442711437944399</v>
      </c>
    </row>
    <row r="62" spans="1:5" x14ac:dyDescent="0.3">
      <c r="A62" t="s">
        <v>258</v>
      </c>
      <c r="B62" t="s">
        <v>642</v>
      </c>
      <c r="C62">
        <v>11.2</v>
      </c>
      <c r="D62">
        <v>2</v>
      </c>
      <c r="E62" s="10">
        <f t="shared" si="0"/>
        <v>0.31536300180469273</v>
      </c>
    </row>
    <row r="63" spans="1:5" x14ac:dyDescent="0.3">
      <c r="A63" t="s">
        <v>259</v>
      </c>
      <c r="B63" t="s">
        <v>643</v>
      </c>
      <c r="C63">
        <v>10.4</v>
      </c>
      <c r="D63">
        <v>3</v>
      </c>
      <c r="E63" s="10">
        <f t="shared" si="0"/>
        <v>-0.25442711437944399</v>
      </c>
    </row>
    <row r="64" spans="1:5" x14ac:dyDescent="0.3">
      <c r="A64" t="s">
        <v>260</v>
      </c>
      <c r="B64" t="s">
        <v>642</v>
      </c>
      <c r="C64">
        <v>11.1</v>
      </c>
      <c r="D64">
        <v>1</v>
      </c>
      <c r="E64" s="10">
        <f t="shared" si="0"/>
        <v>0.24413923728167577</v>
      </c>
    </row>
    <row r="65" spans="1:5" x14ac:dyDescent="0.3">
      <c r="A65" t="s">
        <v>261</v>
      </c>
      <c r="B65" t="s">
        <v>643</v>
      </c>
      <c r="C65">
        <v>11.1</v>
      </c>
      <c r="D65">
        <v>2</v>
      </c>
      <c r="E65" s="10">
        <f t="shared" si="0"/>
        <v>0.24413923728167577</v>
      </c>
    </row>
    <row r="66" spans="1:5" x14ac:dyDescent="0.3">
      <c r="A66" t="s">
        <v>262</v>
      </c>
      <c r="B66" t="s">
        <v>642</v>
      </c>
      <c r="C66">
        <v>11</v>
      </c>
      <c r="D66">
        <v>3</v>
      </c>
      <c r="E66" s="10">
        <f t="shared" si="0"/>
        <v>0.17291547275865884</v>
      </c>
    </row>
    <row r="67" spans="1:5" x14ac:dyDescent="0.3">
      <c r="A67" t="s">
        <v>263</v>
      </c>
      <c r="B67" t="s">
        <v>643</v>
      </c>
      <c r="C67">
        <v>10</v>
      </c>
      <c r="D67">
        <v>7</v>
      </c>
      <c r="E67" s="10">
        <f t="shared" ref="E67:E130" si="1">STANDARDIZE(C67, AVERAGE($C$2:$C$242), _xlfn.STDEV.S($C$2:$C$242))</f>
        <v>-0.53932217247151304</v>
      </c>
    </row>
    <row r="68" spans="1:5" x14ac:dyDescent="0.3">
      <c r="A68" t="s">
        <v>264</v>
      </c>
      <c r="B68" t="s">
        <v>642</v>
      </c>
      <c r="C68">
        <v>9</v>
      </c>
      <c r="D68">
        <v>2</v>
      </c>
      <c r="E68" s="10">
        <f t="shared" si="1"/>
        <v>-1.2515598177016849</v>
      </c>
    </row>
    <row r="69" spans="1:5" x14ac:dyDescent="0.3">
      <c r="A69" t="s">
        <v>265</v>
      </c>
      <c r="B69" t="s">
        <v>642</v>
      </c>
      <c r="C69">
        <v>11.1</v>
      </c>
      <c r="D69">
        <v>4</v>
      </c>
      <c r="E69" s="10">
        <f t="shared" si="1"/>
        <v>0.24413923728167577</v>
      </c>
    </row>
    <row r="70" spans="1:5" x14ac:dyDescent="0.3">
      <c r="A70" t="s">
        <v>266</v>
      </c>
      <c r="B70" t="s">
        <v>643</v>
      </c>
      <c r="C70">
        <v>10.9</v>
      </c>
      <c r="D70">
        <v>4</v>
      </c>
      <c r="E70" s="10">
        <f t="shared" si="1"/>
        <v>0.10169170823564191</v>
      </c>
    </row>
    <row r="71" spans="1:5" x14ac:dyDescent="0.3">
      <c r="A71" t="s">
        <v>267</v>
      </c>
      <c r="B71" t="s">
        <v>643</v>
      </c>
      <c r="C71">
        <v>11.1</v>
      </c>
      <c r="D71">
        <v>2</v>
      </c>
      <c r="E71" s="10">
        <f t="shared" si="1"/>
        <v>0.24413923728167577</v>
      </c>
    </row>
    <row r="72" spans="1:5" x14ac:dyDescent="0.3">
      <c r="A72" t="s">
        <v>268</v>
      </c>
      <c r="B72" t="s">
        <v>643</v>
      </c>
      <c r="C72">
        <v>11.3</v>
      </c>
      <c r="D72">
        <v>2</v>
      </c>
      <c r="E72" s="10">
        <f t="shared" si="1"/>
        <v>0.38658676632771088</v>
      </c>
    </row>
    <row r="73" spans="1:5" x14ac:dyDescent="0.3">
      <c r="A73" t="s">
        <v>269</v>
      </c>
      <c r="B73" t="s">
        <v>642</v>
      </c>
      <c r="C73">
        <v>10.3</v>
      </c>
      <c r="D73">
        <v>3</v>
      </c>
      <c r="E73" s="10">
        <f t="shared" si="1"/>
        <v>-0.32565087890246092</v>
      </c>
    </row>
    <row r="74" spans="1:5" x14ac:dyDescent="0.3">
      <c r="A74" t="s">
        <v>270</v>
      </c>
      <c r="B74" t="s">
        <v>643</v>
      </c>
      <c r="C74">
        <v>11.4</v>
      </c>
      <c r="D74">
        <v>1</v>
      </c>
      <c r="E74" s="10">
        <f t="shared" si="1"/>
        <v>0.45781053085072787</v>
      </c>
    </row>
    <row r="75" spans="1:5" x14ac:dyDescent="0.3">
      <c r="A75" t="s">
        <v>271</v>
      </c>
      <c r="B75" t="s">
        <v>643</v>
      </c>
      <c r="C75">
        <v>9.9</v>
      </c>
      <c r="D75">
        <v>2</v>
      </c>
      <c r="E75" s="10">
        <f t="shared" si="1"/>
        <v>-0.61054593699452997</v>
      </c>
    </row>
    <row r="76" spans="1:5" x14ac:dyDescent="0.3">
      <c r="A76" t="s">
        <v>272</v>
      </c>
      <c r="B76" t="s">
        <v>643</v>
      </c>
      <c r="C76">
        <v>11.2</v>
      </c>
      <c r="D76">
        <v>3</v>
      </c>
      <c r="E76" s="10">
        <f t="shared" si="1"/>
        <v>0.31536300180469273</v>
      </c>
    </row>
    <row r="77" spans="1:5" x14ac:dyDescent="0.3">
      <c r="A77" t="s">
        <v>273</v>
      </c>
      <c r="B77" t="s">
        <v>643</v>
      </c>
      <c r="C77">
        <v>8.4</v>
      </c>
      <c r="D77">
        <v>6</v>
      </c>
      <c r="E77" s="10">
        <f t="shared" si="1"/>
        <v>-1.6789024048397878</v>
      </c>
    </row>
    <row r="78" spans="1:5" x14ac:dyDescent="0.3">
      <c r="A78" t="s">
        <v>274</v>
      </c>
      <c r="B78" t="s">
        <v>643</v>
      </c>
      <c r="C78">
        <v>12.6</v>
      </c>
      <c r="D78">
        <v>6</v>
      </c>
      <c r="E78" s="10">
        <f t="shared" si="1"/>
        <v>1.3124957051269335</v>
      </c>
    </row>
    <row r="79" spans="1:5" x14ac:dyDescent="0.3">
      <c r="A79" t="s">
        <v>275</v>
      </c>
      <c r="B79" t="s">
        <v>643</v>
      </c>
      <c r="C79">
        <v>11.1</v>
      </c>
      <c r="D79">
        <v>3</v>
      </c>
      <c r="E79" s="10">
        <f t="shared" si="1"/>
        <v>0.24413923728167577</v>
      </c>
    </row>
    <row r="80" spans="1:5" x14ac:dyDescent="0.3">
      <c r="A80" t="s">
        <v>276</v>
      </c>
      <c r="B80" t="s">
        <v>643</v>
      </c>
      <c r="C80">
        <v>10.3</v>
      </c>
      <c r="D80">
        <v>2</v>
      </c>
      <c r="E80" s="10">
        <f t="shared" si="1"/>
        <v>-0.32565087890246092</v>
      </c>
    </row>
    <row r="81" spans="1:5" x14ac:dyDescent="0.3">
      <c r="A81" t="s">
        <v>277</v>
      </c>
      <c r="B81" t="s">
        <v>643</v>
      </c>
      <c r="C81">
        <v>10.4</v>
      </c>
      <c r="D81">
        <v>5</v>
      </c>
      <c r="E81" s="10">
        <f t="shared" si="1"/>
        <v>-0.25442711437944399</v>
      </c>
    </row>
    <row r="82" spans="1:5" x14ac:dyDescent="0.3">
      <c r="A82" t="s">
        <v>278</v>
      </c>
      <c r="B82" t="s">
        <v>643</v>
      </c>
      <c r="C82">
        <v>7.3</v>
      </c>
      <c r="D82">
        <v>1</v>
      </c>
      <c r="E82" s="10">
        <f t="shared" si="1"/>
        <v>-2.4623638145929769</v>
      </c>
    </row>
    <row r="83" spans="1:5" x14ac:dyDescent="0.3">
      <c r="A83" t="s">
        <v>279</v>
      </c>
      <c r="B83" t="s">
        <v>643</v>
      </c>
      <c r="C83">
        <v>9.3000000000000007</v>
      </c>
      <c r="D83">
        <v>1</v>
      </c>
      <c r="E83" s="10">
        <f t="shared" si="1"/>
        <v>-1.0378885241326328</v>
      </c>
    </row>
    <row r="84" spans="1:5" x14ac:dyDescent="0.3">
      <c r="A84" t="s">
        <v>280</v>
      </c>
      <c r="B84" t="s">
        <v>643</v>
      </c>
      <c r="C84">
        <v>9</v>
      </c>
      <c r="D84">
        <v>2</v>
      </c>
      <c r="E84" s="10">
        <f t="shared" si="1"/>
        <v>-1.2515598177016849</v>
      </c>
    </row>
    <row r="85" spans="1:5" x14ac:dyDescent="0.3">
      <c r="A85" t="s">
        <v>281</v>
      </c>
      <c r="B85" t="s">
        <v>642</v>
      </c>
      <c r="C85">
        <v>13.4</v>
      </c>
      <c r="D85">
        <v>4</v>
      </c>
      <c r="E85" s="10">
        <f t="shared" si="1"/>
        <v>1.8822858213110716</v>
      </c>
    </row>
    <row r="86" spans="1:5" x14ac:dyDescent="0.3">
      <c r="A86" t="s">
        <v>282</v>
      </c>
      <c r="B86" t="s">
        <v>642</v>
      </c>
      <c r="C86">
        <v>12.6</v>
      </c>
      <c r="D86">
        <v>4</v>
      </c>
      <c r="E86" s="10">
        <f t="shared" si="1"/>
        <v>1.3124957051269335</v>
      </c>
    </row>
    <row r="87" spans="1:5" x14ac:dyDescent="0.3">
      <c r="A87" t="s">
        <v>283</v>
      </c>
      <c r="B87" t="s">
        <v>643</v>
      </c>
      <c r="C87">
        <v>11</v>
      </c>
      <c r="D87">
        <v>1</v>
      </c>
      <c r="E87" s="10">
        <f t="shared" si="1"/>
        <v>0.17291547275865884</v>
      </c>
    </row>
    <row r="88" spans="1:5" x14ac:dyDescent="0.3">
      <c r="A88" t="s">
        <v>284</v>
      </c>
      <c r="B88" t="s">
        <v>643</v>
      </c>
      <c r="C88">
        <v>11.7</v>
      </c>
      <c r="D88">
        <v>2</v>
      </c>
      <c r="E88" s="10">
        <f t="shared" si="1"/>
        <v>0.67148182441977866</v>
      </c>
    </row>
    <row r="89" spans="1:5" x14ac:dyDescent="0.3">
      <c r="A89" t="s">
        <v>285</v>
      </c>
      <c r="B89" t="s">
        <v>643</v>
      </c>
      <c r="C89">
        <v>10</v>
      </c>
      <c r="D89">
        <v>2</v>
      </c>
      <c r="E89" s="10">
        <f t="shared" si="1"/>
        <v>-0.53932217247151304</v>
      </c>
    </row>
    <row r="90" spans="1:5" x14ac:dyDescent="0.3">
      <c r="A90" t="s">
        <v>286</v>
      </c>
      <c r="B90" t="s">
        <v>643</v>
      </c>
      <c r="C90">
        <v>10.4</v>
      </c>
      <c r="D90">
        <v>1</v>
      </c>
      <c r="E90" s="10">
        <f t="shared" si="1"/>
        <v>-0.25442711437944399</v>
      </c>
    </row>
    <row r="91" spans="1:5" x14ac:dyDescent="0.3">
      <c r="A91" t="s">
        <v>287</v>
      </c>
      <c r="B91" t="s">
        <v>643</v>
      </c>
      <c r="C91">
        <v>10.6</v>
      </c>
      <c r="D91">
        <v>4</v>
      </c>
      <c r="E91" s="10">
        <f t="shared" si="1"/>
        <v>-0.11197958533341014</v>
      </c>
    </row>
    <row r="92" spans="1:5" x14ac:dyDescent="0.3">
      <c r="A92" t="s">
        <v>288</v>
      </c>
      <c r="B92" t="s">
        <v>643</v>
      </c>
      <c r="C92">
        <v>11.2</v>
      </c>
      <c r="D92">
        <v>2</v>
      </c>
      <c r="E92" s="10">
        <f t="shared" si="1"/>
        <v>0.31536300180469273</v>
      </c>
    </row>
    <row r="93" spans="1:5" x14ac:dyDescent="0.3">
      <c r="A93" t="s">
        <v>289</v>
      </c>
      <c r="B93" t="s">
        <v>643</v>
      </c>
      <c r="C93">
        <v>12</v>
      </c>
      <c r="D93">
        <v>3</v>
      </c>
      <c r="E93" s="10">
        <f t="shared" si="1"/>
        <v>0.88515311798883067</v>
      </c>
    </row>
    <row r="94" spans="1:5" x14ac:dyDescent="0.3">
      <c r="A94" t="s">
        <v>290</v>
      </c>
      <c r="B94" t="s">
        <v>643</v>
      </c>
      <c r="C94">
        <v>11.8</v>
      </c>
      <c r="D94">
        <v>2</v>
      </c>
      <c r="E94" s="10">
        <f t="shared" si="1"/>
        <v>0.74270558894279681</v>
      </c>
    </row>
    <row r="95" spans="1:5" x14ac:dyDescent="0.3">
      <c r="A95" t="s">
        <v>291</v>
      </c>
      <c r="B95" t="s">
        <v>642</v>
      </c>
      <c r="C95">
        <v>8.8000000000000007</v>
      </c>
      <c r="D95">
        <v>3</v>
      </c>
      <c r="E95" s="10">
        <f t="shared" si="1"/>
        <v>-1.3940073467477188</v>
      </c>
    </row>
    <row r="96" spans="1:5" x14ac:dyDescent="0.3">
      <c r="A96" t="s">
        <v>292</v>
      </c>
      <c r="B96" t="s">
        <v>643</v>
      </c>
      <c r="C96">
        <v>9.5</v>
      </c>
      <c r="D96">
        <v>2</v>
      </c>
      <c r="E96" s="10">
        <f t="shared" si="1"/>
        <v>-0.89544099508659891</v>
      </c>
    </row>
    <row r="97" spans="1:5" x14ac:dyDescent="0.3">
      <c r="A97" t="s">
        <v>293</v>
      </c>
      <c r="B97" t="s">
        <v>642</v>
      </c>
      <c r="C97">
        <v>11</v>
      </c>
      <c r="D97">
        <v>3</v>
      </c>
      <c r="E97" s="10">
        <f t="shared" si="1"/>
        <v>0.17291547275865884</v>
      </c>
    </row>
    <row r="98" spans="1:5" x14ac:dyDescent="0.3">
      <c r="A98" t="s">
        <v>294</v>
      </c>
      <c r="B98" t="s">
        <v>643</v>
      </c>
      <c r="C98">
        <v>12.3</v>
      </c>
      <c r="D98">
        <v>3</v>
      </c>
      <c r="E98" s="10">
        <f t="shared" si="1"/>
        <v>1.0988244115578827</v>
      </c>
    </row>
    <row r="99" spans="1:5" x14ac:dyDescent="0.3">
      <c r="A99" t="s">
        <v>295</v>
      </c>
      <c r="B99" t="s">
        <v>643</v>
      </c>
      <c r="C99">
        <v>11.8</v>
      </c>
      <c r="D99">
        <v>2</v>
      </c>
      <c r="E99" s="10">
        <f t="shared" si="1"/>
        <v>0.74270558894279681</v>
      </c>
    </row>
    <row r="100" spans="1:5" x14ac:dyDescent="0.3">
      <c r="A100" t="s">
        <v>296</v>
      </c>
      <c r="B100" t="s">
        <v>643</v>
      </c>
      <c r="C100">
        <v>10.5</v>
      </c>
      <c r="D100">
        <v>3</v>
      </c>
      <c r="E100" s="10">
        <f t="shared" si="1"/>
        <v>-0.18320334985642708</v>
      </c>
    </row>
    <row r="101" spans="1:5" x14ac:dyDescent="0.3">
      <c r="A101" t="s">
        <v>297</v>
      </c>
      <c r="B101" t="s">
        <v>643</v>
      </c>
      <c r="C101">
        <v>11.3</v>
      </c>
      <c r="D101">
        <v>1</v>
      </c>
      <c r="E101" s="10">
        <f t="shared" si="1"/>
        <v>0.38658676632771088</v>
      </c>
    </row>
    <row r="102" spans="1:5" x14ac:dyDescent="0.3">
      <c r="A102" t="s">
        <v>298</v>
      </c>
      <c r="B102" t="s">
        <v>642</v>
      </c>
      <c r="C102">
        <v>11.9</v>
      </c>
      <c r="D102">
        <v>4</v>
      </c>
      <c r="E102" s="10">
        <f t="shared" si="1"/>
        <v>0.81392935346581374</v>
      </c>
    </row>
    <row r="103" spans="1:5" x14ac:dyDescent="0.3">
      <c r="A103" t="s">
        <v>299</v>
      </c>
      <c r="B103" t="s">
        <v>642</v>
      </c>
      <c r="C103">
        <v>12.7</v>
      </c>
      <c r="D103">
        <v>3</v>
      </c>
      <c r="E103" s="10">
        <f t="shared" si="1"/>
        <v>1.3837194696499504</v>
      </c>
    </row>
    <row r="104" spans="1:5" x14ac:dyDescent="0.3">
      <c r="A104" t="s">
        <v>300</v>
      </c>
      <c r="B104" t="s">
        <v>643</v>
      </c>
      <c r="C104">
        <v>12.4</v>
      </c>
      <c r="D104">
        <v>2</v>
      </c>
      <c r="E104" s="10">
        <f t="shared" si="1"/>
        <v>1.1700481760808996</v>
      </c>
    </row>
    <row r="105" spans="1:5" x14ac:dyDescent="0.3">
      <c r="A105" t="s">
        <v>301</v>
      </c>
      <c r="B105" t="s">
        <v>642</v>
      </c>
      <c r="C105">
        <v>10.199999999999999</v>
      </c>
      <c r="D105">
        <v>5</v>
      </c>
      <c r="E105" s="10">
        <f t="shared" si="1"/>
        <v>-0.39687464342547912</v>
      </c>
    </row>
    <row r="106" spans="1:5" x14ac:dyDescent="0.3">
      <c r="A106" t="s">
        <v>302</v>
      </c>
      <c r="B106" t="s">
        <v>642</v>
      </c>
      <c r="C106">
        <v>10.199999999999999</v>
      </c>
      <c r="D106">
        <v>2</v>
      </c>
      <c r="E106" s="10">
        <f t="shared" si="1"/>
        <v>-0.39687464342547912</v>
      </c>
    </row>
    <row r="107" spans="1:5" x14ac:dyDescent="0.3">
      <c r="A107" t="s">
        <v>303</v>
      </c>
      <c r="B107" t="s">
        <v>643</v>
      </c>
      <c r="C107">
        <v>11</v>
      </c>
      <c r="D107">
        <v>3</v>
      </c>
      <c r="E107" s="10">
        <f t="shared" si="1"/>
        <v>0.17291547275865884</v>
      </c>
    </row>
    <row r="108" spans="1:5" x14ac:dyDescent="0.3">
      <c r="A108" t="s">
        <v>304</v>
      </c>
      <c r="B108" t="s">
        <v>642</v>
      </c>
      <c r="C108">
        <v>11.2</v>
      </c>
      <c r="D108">
        <v>3</v>
      </c>
      <c r="E108" s="10">
        <f t="shared" si="1"/>
        <v>0.31536300180469273</v>
      </c>
    </row>
    <row r="109" spans="1:5" x14ac:dyDescent="0.3">
      <c r="A109" t="s">
        <v>305</v>
      </c>
      <c r="B109" t="s">
        <v>643</v>
      </c>
      <c r="C109">
        <v>11.6</v>
      </c>
      <c r="D109">
        <v>2</v>
      </c>
      <c r="E109" s="10">
        <f t="shared" si="1"/>
        <v>0.60025805989676173</v>
      </c>
    </row>
    <row r="110" spans="1:5" x14ac:dyDescent="0.3">
      <c r="A110" t="s">
        <v>306</v>
      </c>
      <c r="B110" t="s">
        <v>643</v>
      </c>
      <c r="C110">
        <v>11.4</v>
      </c>
      <c r="D110">
        <v>1</v>
      </c>
      <c r="E110" s="10">
        <f t="shared" si="1"/>
        <v>0.45781053085072787</v>
      </c>
    </row>
    <row r="111" spans="1:5" x14ac:dyDescent="0.3">
      <c r="A111" t="s">
        <v>307</v>
      </c>
      <c r="B111" t="s">
        <v>642</v>
      </c>
      <c r="C111">
        <v>10.1</v>
      </c>
      <c r="D111">
        <v>4</v>
      </c>
      <c r="E111" s="10">
        <f t="shared" si="1"/>
        <v>-0.46809840794849605</v>
      </c>
    </row>
    <row r="112" spans="1:5" x14ac:dyDescent="0.3">
      <c r="A112" t="s">
        <v>308</v>
      </c>
      <c r="B112" t="s">
        <v>643</v>
      </c>
      <c r="C112">
        <v>10.3</v>
      </c>
      <c r="D112">
        <v>4</v>
      </c>
      <c r="E112" s="10">
        <f t="shared" si="1"/>
        <v>-0.32565087890246092</v>
      </c>
    </row>
    <row r="113" spans="1:5" x14ac:dyDescent="0.3">
      <c r="A113" t="s">
        <v>309</v>
      </c>
      <c r="B113" t="s">
        <v>643</v>
      </c>
      <c r="C113">
        <v>8.8000000000000007</v>
      </c>
      <c r="D113">
        <v>1</v>
      </c>
      <c r="E113" s="10">
        <f t="shared" si="1"/>
        <v>-1.3940073467477188</v>
      </c>
    </row>
    <row r="114" spans="1:5" x14ac:dyDescent="0.3">
      <c r="A114" t="s">
        <v>310</v>
      </c>
      <c r="B114" t="s">
        <v>643</v>
      </c>
      <c r="C114">
        <v>11.3</v>
      </c>
      <c r="D114">
        <v>1</v>
      </c>
      <c r="E114" s="10">
        <f t="shared" si="1"/>
        <v>0.38658676632771088</v>
      </c>
    </row>
    <row r="115" spans="1:5" x14ac:dyDescent="0.3">
      <c r="A115" t="s">
        <v>311</v>
      </c>
      <c r="B115" t="s">
        <v>643</v>
      </c>
      <c r="C115">
        <v>10</v>
      </c>
      <c r="D115">
        <v>3</v>
      </c>
      <c r="E115" s="10">
        <f t="shared" si="1"/>
        <v>-0.53932217247151304</v>
      </c>
    </row>
    <row r="116" spans="1:5" x14ac:dyDescent="0.3">
      <c r="A116" t="s">
        <v>312</v>
      </c>
      <c r="B116" t="s">
        <v>643</v>
      </c>
      <c r="C116">
        <v>10.8</v>
      </c>
      <c r="D116">
        <v>1</v>
      </c>
      <c r="E116" s="10">
        <f t="shared" si="1"/>
        <v>3.0467943712624984E-2</v>
      </c>
    </row>
    <row r="117" spans="1:5" x14ac:dyDescent="0.3">
      <c r="A117" t="s">
        <v>313</v>
      </c>
      <c r="B117" t="s">
        <v>643</v>
      </c>
      <c r="C117">
        <v>8.4</v>
      </c>
      <c r="D117">
        <v>2</v>
      </c>
      <c r="E117" s="10">
        <f t="shared" si="1"/>
        <v>-1.6789024048397878</v>
      </c>
    </row>
    <row r="118" spans="1:5" x14ac:dyDescent="0.3">
      <c r="A118" t="s">
        <v>314</v>
      </c>
      <c r="B118" t="s">
        <v>642</v>
      </c>
      <c r="C118">
        <v>6.9</v>
      </c>
      <c r="D118">
        <v>2</v>
      </c>
      <c r="E118" s="10">
        <f t="shared" si="1"/>
        <v>-2.7472588726850455</v>
      </c>
    </row>
    <row r="119" spans="1:5" x14ac:dyDescent="0.3">
      <c r="A119" t="s">
        <v>315</v>
      </c>
      <c r="B119" t="s">
        <v>642</v>
      </c>
      <c r="C119">
        <v>9.5</v>
      </c>
      <c r="D119">
        <v>2</v>
      </c>
      <c r="E119" s="10">
        <f t="shared" si="1"/>
        <v>-0.89544099508659891</v>
      </c>
    </row>
    <row r="120" spans="1:5" x14ac:dyDescent="0.3">
      <c r="A120" t="s">
        <v>316</v>
      </c>
      <c r="B120" t="s">
        <v>643</v>
      </c>
      <c r="C120">
        <v>8.8000000000000007</v>
      </c>
      <c r="D120">
        <v>3</v>
      </c>
      <c r="E120" s="10">
        <f t="shared" si="1"/>
        <v>-1.3940073467477188</v>
      </c>
    </row>
    <row r="121" spans="1:5" x14ac:dyDescent="0.3">
      <c r="A121" t="s">
        <v>317</v>
      </c>
      <c r="B121" t="s">
        <v>643</v>
      </c>
      <c r="C121">
        <v>12.8</v>
      </c>
      <c r="D121">
        <v>2</v>
      </c>
      <c r="E121" s="10">
        <f t="shared" si="1"/>
        <v>1.4549432341729687</v>
      </c>
    </row>
    <row r="122" spans="1:5" x14ac:dyDescent="0.3">
      <c r="A122" t="s">
        <v>318</v>
      </c>
      <c r="B122" t="s">
        <v>643</v>
      </c>
      <c r="C122">
        <v>15</v>
      </c>
      <c r="D122">
        <v>2</v>
      </c>
      <c r="E122" s="10">
        <f t="shared" si="1"/>
        <v>3.0218660536793465</v>
      </c>
    </row>
    <row r="123" spans="1:5" x14ac:dyDescent="0.3">
      <c r="A123" t="s">
        <v>319</v>
      </c>
      <c r="B123" t="s">
        <v>642</v>
      </c>
      <c r="C123">
        <v>10.6</v>
      </c>
      <c r="D123">
        <v>5</v>
      </c>
      <c r="E123" s="10">
        <f t="shared" si="1"/>
        <v>-0.11197958533341014</v>
      </c>
    </row>
    <row r="124" spans="1:5" x14ac:dyDescent="0.3">
      <c r="A124" t="s">
        <v>320</v>
      </c>
      <c r="B124" t="s">
        <v>643</v>
      </c>
      <c r="C124">
        <v>11.9</v>
      </c>
      <c r="D124">
        <v>2</v>
      </c>
      <c r="E124" s="10">
        <f t="shared" si="1"/>
        <v>0.81392935346581374</v>
      </c>
    </row>
    <row r="125" spans="1:5" x14ac:dyDescent="0.3">
      <c r="A125" t="s">
        <v>321</v>
      </c>
      <c r="B125" t="s">
        <v>642</v>
      </c>
      <c r="C125">
        <v>9.6999999999999993</v>
      </c>
      <c r="D125">
        <v>3</v>
      </c>
      <c r="E125" s="10">
        <f t="shared" si="1"/>
        <v>-0.75299346604056505</v>
      </c>
    </row>
    <row r="126" spans="1:5" x14ac:dyDescent="0.3">
      <c r="A126" t="s">
        <v>322</v>
      </c>
      <c r="B126" t="s">
        <v>643</v>
      </c>
      <c r="C126">
        <v>12</v>
      </c>
      <c r="D126">
        <v>1</v>
      </c>
      <c r="E126" s="10">
        <f t="shared" si="1"/>
        <v>0.88515311798883067</v>
      </c>
    </row>
    <row r="127" spans="1:5" x14ac:dyDescent="0.3">
      <c r="A127" t="s">
        <v>323</v>
      </c>
      <c r="B127" t="s">
        <v>643</v>
      </c>
      <c r="C127">
        <v>8.5</v>
      </c>
      <c r="D127">
        <v>2</v>
      </c>
      <c r="E127" s="10">
        <f t="shared" si="1"/>
        <v>-1.6076786403167709</v>
      </c>
    </row>
    <row r="128" spans="1:5" x14ac:dyDescent="0.3">
      <c r="A128" t="s">
        <v>324</v>
      </c>
      <c r="B128" t="s">
        <v>643</v>
      </c>
      <c r="C128">
        <v>10</v>
      </c>
      <c r="D128">
        <v>2</v>
      </c>
      <c r="E128" s="10">
        <f t="shared" si="1"/>
        <v>-0.53932217247151304</v>
      </c>
    </row>
    <row r="129" spans="1:5" x14ac:dyDescent="0.3">
      <c r="A129" t="s">
        <v>325</v>
      </c>
      <c r="B129" t="s">
        <v>643</v>
      </c>
      <c r="C129">
        <v>9.4</v>
      </c>
      <c r="D129">
        <v>2</v>
      </c>
      <c r="E129" s="10">
        <f t="shared" si="1"/>
        <v>-0.96666475960961584</v>
      </c>
    </row>
    <row r="130" spans="1:5" x14ac:dyDescent="0.3">
      <c r="A130" t="s">
        <v>326</v>
      </c>
      <c r="B130" t="s">
        <v>643</v>
      </c>
      <c r="C130">
        <v>12.2</v>
      </c>
      <c r="D130">
        <v>2</v>
      </c>
      <c r="E130" s="10">
        <f t="shared" si="1"/>
        <v>1.0276006470348646</v>
      </c>
    </row>
    <row r="131" spans="1:5" x14ac:dyDescent="0.3">
      <c r="A131" t="s">
        <v>327</v>
      </c>
      <c r="B131" t="s">
        <v>643</v>
      </c>
      <c r="C131">
        <v>7.7</v>
      </c>
      <c r="D131">
        <v>2</v>
      </c>
      <c r="E131" s="10">
        <f t="shared" ref="E131:E181" si="2">STANDARDIZE(C131, AVERAGE($C$2:$C$242), _xlfn.STDEV.S($C$2:$C$242))</f>
        <v>-2.1774687565009083</v>
      </c>
    </row>
    <row r="132" spans="1:5" x14ac:dyDescent="0.3">
      <c r="A132" t="s">
        <v>328</v>
      </c>
      <c r="B132" t="s">
        <v>643</v>
      </c>
      <c r="C132">
        <v>10.1</v>
      </c>
      <c r="D132">
        <v>2</v>
      </c>
      <c r="E132" s="10">
        <f t="shared" si="2"/>
        <v>-0.46809840794849605</v>
      </c>
    </row>
    <row r="133" spans="1:5" x14ac:dyDescent="0.3">
      <c r="A133" t="s">
        <v>329</v>
      </c>
      <c r="B133" t="s">
        <v>643</v>
      </c>
      <c r="C133">
        <v>11</v>
      </c>
      <c r="D133">
        <v>1</v>
      </c>
      <c r="E133" s="10">
        <f t="shared" si="2"/>
        <v>0.17291547275865884</v>
      </c>
    </row>
    <row r="134" spans="1:5" x14ac:dyDescent="0.3">
      <c r="A134" t="s">
        <v>330</v>
      </c>
      <c r="B134" t="s">
        <v>643</v>
      </c>
      <c r="C134">
        <v>11.2</v>
      </c>
      <c r="D134">
        <v>2</v>
      </c>
      <c r="E134" s="10">
        <f t="shared" si="2"/>
        <v>0.31536300180469273</v>
      </c>
    </row>
    <row r="135" spans="1:5" x14ac:dyDescent="0.3">
      <c r="A135" t="s">
        <v>331</v>
      </c>
      <c r="B135" t="s">
        <v>643</v>
      </c>
      <c r="C135">
        <v>8.8000000000000007</v>
      </c>
      <c r="D135">
        <v>2</v>
      </c>
      <c r="E135" s="10">
        <f t="shared" si="2"/>
        <v>-1.3940073467477188</v>
      </c>
    </row>
    <row r="136" spans="1:5" x14ac:dyDescent="0.3">
      <c r="A136" t="s">
        <v>332</v>
      </c>
      <c r="B136" t="s">
        <v>643</v>
      </c>
      <c r="C136">
        <v>13</v>
      </c>
      <c r="D136">
        <v>1</v>
      </c>
      <c r="E136" s="10">
        <f t="shared" si="2"/>
        <v>1.5973907632190025</v>
      </c>
    </row>
    <row r="137" spans="1:5" x14ac:dyDescent="0.3">
      <c r="A137" t="s">
        <v>333</v>
      </c>
      <c r="B137" t="s">
        <v>643</v>
      </c>
      <c r="C137">
        <v>10.6</v>
      </c>
      <c r="D137">
        <v>4</v>
      </c>
      <c r="E137" s="10">
        <f t="shared" si="2"/>
        <v>-0.11197958533341014</v>
      </c>
    </row>
    <row r="138" spans="1:5" x14ac:dyDescent="0.3">
      <c r="A138" t="s">
        <v>334</v>
      </c>
      <c r="B138" t="s">
        <v>642</v>
      </c>
      <c r="C138">
        <v>10.7</v>
      </c>
      <c r="D138">
        <v>5</v>
      </c>
      <c r="E138" s="10">
        <f t="shared" si="2"/>
        <v>-4.0755820810393209E-2</v>
      </c>
    </row>
    <row r="139" spans="1:5" x14ac:dyDescent="0.3">
      <c r="A139" t="s">
        <v>335</v>
      </c>
      <c r="B139" t="s">
        <v>642</v>
      </c>
      <c r="C139">
        <v>10.5</v>
      </c>
      <c r="D139">
        <v>3</v>
      </c>
      <c r="E139" s="10">
        <f t="shared" si="2"/>
        <v>-0.18320334985642708</v>
      </c>
    </row>
    <row r="140" spans="1:5" x14ac:dyDescent="0.3">
      <c r="A140" t="s">
        <v>336</v>
      </c>
      <c r="B140" t="s">
        <v>642</v>
      </c>
      <c r="C140">
        <v>9.8000000000000007</v>
      </c>
      <c r="D140">
        <v>4</v>
      </c>
      <c r="E140" s="10">
        <f t="shared" si="2"/>
        <v>-0.6817697015175469</v>
      </c>
    </row>
    <row r="141" spans="1:5" x14ac:dyDescent="0.3">
      <c r="A141" t="s">
        <v>337</v>
      </c>
      <c r="B141" t="s">
        <v>643</v>
      </c>
      <c r="C141">
        <v>12.6</v>
      </c>
      <c r="D141">
        <v>2</v>
      </c>
      <c r="E141" s="10">
        <f t="shared" si="2"/>
        <v>1.3124957051269335</v>
      </c>
    </row>
    <row r="142" spans="1:5" x14ac:dyDescent="0.3">
      <c r="A142" t="s">
        <v>338</v>
      </c>
      <c r="B142" t="s">
        <v>643</v>
      </c>
      <c r="C142">
        <v>10.4</v>
      </c>
      <c r="D142">
        <v>1</v>
      </c>
      <c r="E142" s="10">
        <f t="shared" si="2"/>
        <v>-0.25442711437944399</v>
      </c>
    </row>
    <row r="143" spans="1:5" x14ac:dyDescent="0.3">
      <c r="A143" t="s">
        <v>339</v>
      </c>
      <c r="B143" t="s">
        <v>642</v>
      </c>
      <c r="C143">
        <v>11.2</v>
      </c>
      <c r="D143">
        <v>6</v>
      </c>
      <c r="E143" s="10">
        <f t="shared" si="2"/>
        <v>0.31536300180469273</v>
      </c>
    </row>
    <row r="144" spans="1:5" x14ac:dyDescent="0.3">
      <c r="A144" t="s">
        <v>340</v>
      </c>
      <c r="B144" t="s">
        <v>642</v>
      </c>
      <c r="C144">
        <v>12</v>
      </c>
      <c r="D144">
        <v>8</v>
      </c>
      <c r="E144" s="10">
        <f t="shared" si="2"/>
        <v>0.88515311798883067</v>
      </c>
    </row>
    <row r="145" spans="1:5" x14ac:dyDescent="0.3">
      <c r="A145" t="s">
        <v>341</v>
      </c>
      <c r="B145" t="s">
        <v>643</v>
      </c>
      <c r="C145">
        <v>13.2</v>
      </c>
      <c r="D145">
        <v>3</v>
      </c>
      <c r="E145" s="10">
        <f t="shared" si="2"/>
        <v>1.7398382922650364</v>
      </c>
    </row>
    <row r="146" spans="1:5" x14ac:dyDescent="0.3">
      <c r="A146" t="s">
        <v>342</v>
      </c>
      <c r="B146" t="s">
        <v>643</v>
      </c>
      <c r="C146">
        <v>10.7</v>
      </c>
      <c r="D146">
        <v>3</v>
      </c>
      <c r="E146" s="10">
        <f t="shared" si="2"/>
        <v>-4.0755820810393209E-2</v>
      </c>
    </row>
    <row r="147" spans="1:5" x14ac:dyDescent="0.3">
      <c r="A147" t="s">
        <v>343</v>
      </c>
      <c r="B147" t="s">
        <v>643</v>
      </c>
      <c r="C147">
        <v>11.3</v>
      </c>
      <c r="D147">
        <v>1</v>
      </c>
      <c r="E147" s="10">
        <f t="shared" si="2"/>
        <v>0.38658676632771088</v>
      </c>
    </row>
    <row r="148" spans="1:5" x14ac:dyDescent="0.3">
      <c r="A148" t="s">
        <v>344</v>
      </c>
      <c r="B148" t="s">
        <v>642</v>
      </c>
      <c r="C148">
        <v>12</v>
      </c>
      <c r="D148">
        <v>3</v>
      </c>
      <c r="E148" s="10">
        <f t="shared" si="2"/>
        <v>0.88515311798883067</v>
      </c>
    </row>
    <row r="149" spans="1:5" x14ac:dyDescent="0.3">
      <c r="A149" t="s">
        <v>345</v>
      </c>
      <c r="B149" t="s">
        <v>643</v>
      </c>
      <c r="C149">
        <v>12.4</v>
      </c>
      <c r="D149">
        <v>1</v>
      </c>
      <c r="E149" s="10">
        <f t="shared" si="2"/>
        <v>1.1700481760808996</v>
      </c>
    </row>
    <row r="150" spans="1:5" x14ac:dyDescent="0.3">
      <c r="A150" t="s">
        <v>346</v>
      </c>
      <c r="B150" t="s">
        <v>642</v>
      </c>
      <c r="C150">
        <v>13.9</v>
      </c>
      <c r="D150">
        <v>3</v>
      </c>
      <c r="E150" s="10">
        <f t="shared" si="2"/>
        <v>2.2384046439261573</v>
      </c>
    </row>
    <row r="151" spans="1:5" x14ac:dyDescent="0.3">
      <c r="A151" t="s">
        <v>347</v>
      </c>
      <c r="B151" t="s">
        <v>643</v>
      </c>
      <c r="C151">
        <v>12</v>
      </c>
      <c r="D151">
        <v>5</v>
      </c>
      <c r="E151" s="10">
        <f t="shared" si="2"/>
        <v>0.88515311798883067</v>
      </c>
    </row>
    <row r="152" spans="1:5" x14ac:dyDescent="0.3">
      <c r="A152" t="s">
        <v>348</v>
      </c>
      <c r="B152" t="s">
        <v>643</v>
      </c>
      <c r="C152">
        <v>9.1999999999999993</v>
      </c>
      <c r="D152">
        <v>2</v>
      </c>
      <c r="E152" s="10">
        <f t="shared" si="2"/>
        <v>-1.109112288655651</v>
      </c>
    </row>
    <row r="153" spans="1:5" x14ac:dyDescent="0.3">
      <c r="A153" t="s">
        <v>349</v>
      </c>
      <c r="B153" t="s">
        <v>643</v>
      </c>
      <c r="C153">
        <v>11.5</v>
      </c>
      <c r="D153">
        <v>5</v>
      </c>
      <c r="E153" s="10">
        <f t="shared" si="2"/>
        <v>0.5290342953737448</v>
      </c>
    </row>
    <row r="154" spans="1:5" x14ac:dyDescent="0.3">
      <c r="A154" t="s">
        <v>350</v>
      </c>
      <c r="B154" t="s">
        <v>643</v>
      </c>
      <c r="C154">
        <v>12.2</v>
      </c>
      <c r="D154">
        <v>2</v>
      </c>
      <c r="E154" s="10">
        <f t="shared" si="2"/>
        <v>1.0276006470348646</v>
      </c>
    </row>
    <row r="155" spans="1:5" x14ac:dyDescent="0.3">
      <c r="A155" t="s">
        <v>351</v>
      </c>
      <c r="B155" t="s">
        <v>642</v>
      </c>
      <c r="C155">
        <v>10.3</v>
      </c>
      <c r="D155">
        <v>3</v>
      </c>
      <c r="E155" s="10">
        <f t="shared" si="2"/>
        <v>-0.32565087890246092</v>
      </c>
    </row>
    <row r="156" spans="1:5" x14ac:dyDescent="0.3">
      <c r="A156" t="s">
        <v>352</v>
      </c>
      <c r="B156" t="s">
        <v>642</v>
      </c>
      <c r="C156">
        <v>9.4</v>
      </c>
      <c r="D156">
        <v>3</v>
      </c>
      <c r="E156" s="10">
        <f t="shared" si="2"/>
        <v>-0.96666475960961584</v>
      </c>
    </row>
    <row r="157" spans="1:5" x14ac:dyDescent="0.3">
      <c r="A157" t="s">
        <v>353</v>
      </c>
      <c r="B157" t="s">
        <v>642</v>
      </c>
      <c r="C157">
        <v>13</v>
      </c>
      <c r="D157">
        <v>1</v>
      </c>
      <c r="E157" s="10">
        <f t="shared" si="2"/>
        <v>1.5973907632190025</v>
      </c>
    </row>
    <row r="158" spans="1:5" x14ac:dyDescent="0.3">
      <c r="A158" t="s">
        <v>354</v>
      </c>
      <c r="B158" t="s">
        <v>642</v>
      </c>
      <c r="C158">
        <v>11</v>
      </c>
      <c r="D158">
        <v>4</v>
      </c>
      <c r="E158" s="10">
        <f t="shared" si="2"/>
        <v>0.17291547275865884</v>
      </c>
    </row>
    <row r="159" spans="1:5" x14ac:dyDescent="0.3">
      <c r="A159" t="s">
        <v>355</v>
      </c>
      <c r="B159" t="s">
        <v>643</v>
      </c>
      <c r="C159">
        <v>8.3000000000000007</v>
      </c>
      <c r="D159">
        <v>2</v>
      </c>
      <c r="E159" s="10">
        <f t="shared" si="2"/>
        <v>-1.7501261693628047</v>
      </c>
    </row>
    <row r="160" spans="1:5" x14ac:dyDescent="0.3">
      <c r="A160" t="s">
        <v>356</v>
      </c>
      <c r="B160" t="s">
        <v>643</v>
      </c>
      <c r="C160">
        <v>10.3</v>
      </c>
      <c r="D160">
        <v>5</v>
      </c>
      <c r="E160" s="10">
        <f t="shared" si="2"/>
        <v>-0.32565087890246092</v>
      </c>
    </row>
    <row r="161" spans="1:5" x14ac:dyDescent="0.3">
      <c r="A161" t="s">
        <v>357</v>
      </c>
      <c r="B161" t="s">
        <v>643</v>
      </c>
      <c r="C161">
        <v>14</v>
      </c>
      <c r="D161">
        <v>1</v>
      </c>
      <c r="E161" s="10">
        <f t="shared" si="2"/>
        <v>2.3096284084491745</v>
      </c>
    </row>
    <row r="162" spans="1:5" x14ac:dyDescent="0.3">
      <c r="A162" t="s">
        <v>358</v>
      </c>
      <c r="B162" t="s">
        <v>643</v>
      </c>
      <c r="C162">
        <v>10.3</v>
      </c>
      <c r="D162">
        <v>3</v>
      </c>
      <c r="E162" s="10">
        <f t="shared" si="2"/>
        <v>-0.32565087890246092</v>
      </c>
    </row>
    <row r="163" spans="1:5" x14ac:dyDescent="0.3">
      <c r="A163" t="s">
        <v>359</v>
      </c>
      <c r="B163" t="s">
        <v>642</v>
      </c>
      <c r="C163">
        <v>8.1999999999999993</v>
      </c>
      <c r="D163">
        <v>3</v>
      </c>
      <c r="E163" s="10">
        <f t="shared" si="2"/>
        <v>-1.8213499338858228</v>
      </c>
    </row>
    <row r="164" spans="1:5" x14ac:dyDescent="0.3">
      <c r="A164" t="s">
        <v>360</v>
      </c>
      <c r="B164" t="s">
        <v>643</v>
      </c>
      <c r="C164">
        <v>11.1</v>
      </c>
      <c r="D164">
        <v>2</v>
      </c>
      <c r="E164" s="10">
        <f t="shared" si="2"/>
        <v>0.24413923728167577</v>
      </c>
    </row>
    <row r="165" spans="1:5" x14ac:dyDescent="0.3">
      <c r="A165" t="s">
        <v>361</v>
      </c>
      <c r="B165" t="s">
        <v>642</v>
      </c>
      <c r="C165">
        <v>10.3</v>
      </c>
      <c r="D165">
        <v>3</v>
      </c>
      <c r="E165" s="10">
        <f t="shared" si="2"/>
        <v>-0.32565087890246092</v>
      </c>
    </row>
    <row r="166" spans="1:5" x14ac:dyDescent="0.3">
      <c r="A166" t="s">
        <v>362</v>
      </c>
      <c r="B166" t="s">
        <v>642</v>
      </c>
      <c r="C166">
        <v>11.3</v>
      </c>
      <c r="D166">
        <v>1</v>
      </c>
      <c r="E166" s="10">
        <f t="shared" si="2"/>
        <v>0.38658676632771088</v>
      </c>
    </row>
    <row r="167" spans="1:5" x14ac:dyDescent="0.3">
      <c r="A167" t="s">
        <v>363</v>
      </c>
      <c r="B167" t="s">
        <v>643</v>
      </c>
      <c r="C167">
        <v>8.6</v>
      </c>
      <c r="D167">
        <v>2</v>
      </c>
      <c r="E167" s="10">
        <f t="shared" si="2"/>
        <v>-1.5364548757937539</v>
      </c>
    </row>
    <row r="168" spans="1:5" x14ac:dyDescent="0.3">
      <c r="A168" t="s">
        <v>364</v>
      </c>
      <c r="B168" t="s">
        <v>643</v>
      </c>
      <c r="C168">
        <v>8</v>
      </c>
      <c r="D168">
        <v>1</v>
      </c>
      <c r="E168" s="10">
        <f t="shared" si="2"/>
        <v>-1.9637974629318566</v>
      </c>
    </row>
    <row r="169" spans="1:5" x14ac:dyDescent="0.3">
      <c r="A169" t="s">
        <v>365</v>
      </c>
      <c r="B169" t="s">
        <v>643</v>
      </c>
      <c r="C169">
        <v>13.6</v>
      </c>
      <c r="D169">
        <v>2</v>
      </c>
      <c r="E169" s="10">
        <f t="shared" si="2"/>
        <v>2.0247333503571054</v>
      </c>
    </row>
    <row r="170" spans="1:5" x14ac:dyDescent="0.3">
      <c r="A170" t="s">
        <v>366</v>
      </c>
      <c r="B170" t="s">
        <v>642</v>
      </c>
      <c r="C170">
        <v>8.1</v>
      </c>
      <c r="D170">
        <v>1</v>
      </c>
      <c r="E170" s="10">
        <f t="shared" si="2"/>
        <v>-1.8925736984088397</v>
      </c>
    </row>
    <row r="171" spans="1:5" x14ac:dyDescent="0.3">
      <c r="A171" t="s">
        <v>367</v>
      </c>
      <c r="B171" t="s">
        <v>643</v>
      </c>
      <c r="C171">
        <v>12.7</v>
      </c>
      <c r="D171">
        <v>1</v>
      </c>
      <c r="E171" s="10">
        <f t="shared" si="2"/>
        <v>1.3837194696499504</v>
      </c>
    </row>
    <row r="172" spans="1:5" x14ac:dyDescent="0.3">
      <c r="A172" t="s">
        <v>368</v>
      </c>
      <c r="B172" t="s">
        <v>643</v>
      </c>
      <c r="C172">
        <v>10.8</v>
      </c>
      <c r="D172">
        <v>2</v>
      </c>
      <c r="E172" s="10">
        <f t="shared" si="2"/>
        <v>3.0467943712624984E-2</v>
      </c>
    </row>
    <row r="173" spans="1:5" x14ac:dyDescent="0.3">
      <c r="A173" t="s">
        <v>369</v>
      </c>
      <c r="B173" t="s">
        <v>643</v>
      </c>
      <c r="C173">
        <v>11.3</v>
      </c>
      <c r="D173">
        <v>2</v>
      </c>
      <c r="E173" s="10">
        <f t="shared" si="2"/>
        <v>0.38658676632771088</v>
      </c>
    </row>
    <row r="174" spans="1:5" x14ac:dyDescent="0.3">
      <c r="A174" t="s">
        <v>370</v>
      </c>
      <c r="B174" t="s">
        <v>643</v>
      </c>
      <c r="C174">
        <v>10.4</v>
      </c>
      <c r="D174">
        <v>2</v>
      </c>
      <c r="E174" s="10">
        <f t="shared" si="2"/>
        <v>-0.25442711437944399</v>
      </c>
    </row>
    <row r="175" spans="1:5" x14ac:dyDescent="0.3">
      <c r="A175" t="s">
        <v>371</v>
      </c>
      <c r="B175" t="s">
        <v>643</v>
      </c>
      <c r="C175">
        <v>11.1</v>
      </c>
      <c r="D175">
        <v>2</v>
      </c>
      <c r="E175" s="10">
        <f t="shared" si="2"/>
        <v>0.24413923728167577</v>
      </c>
    </row>
    <row r="176" spans="1:5" x14ac:dyDescent="0.3">
      <c r="A176" t="s">
        <v>372</v>
      </c>
      <c r="B176" t="s">
        <v>642</v>
      </c>
      <c r="C176">
        <v>10.3</v>
      </c>
      <c r="D176">
        <v>1</v>
      </c>
      <c r="E176" s="10">
        <f t="shared" si="2"/>
        <v>-0.32565087890246092</v>
      </c>
    </row>
    <row r="177" spans="1:5" x14ac:dyDescent="0.3">
      <c r="A177" t="s">
        <v>373</v>
      </c>
      <c r="B177" t="s">
        <v>643</v>
      </c>
      <c r="C177">
        <v>8.3000000000000007</v>
      </c>
      <c r="D177">
        <v>2</v>
      </c>
      <c r="E177" s="10">
        <f t="shared" si="2"/>
        <v>-1.7501261693628047</v>
      </c>
    </row>
    <row r="178" spans="1:5" x14ac:dyDescent="0.3">
      <c r="A178" t="s">
        <v>374</v>
      </c>
      <c r="B178" t="s">
        <v>642</v>
      </c>
      <c r="C178">
        <v>11.2</v>
      </c>
      <c r="D178">
        <v>1</v>
      </c>
      <c r="E178" s="10">
        <f t="shared" si="2"/>
        <v>0.31536300180469273</v>
      </c>
    </row>
    <row r="179" spans="1:5" x14ac:dyDescent="0.3">
      <c r="A179" t="s">
        <v>375</v>
      </c>
      <c r="B179" t="s">
        <v>643</v>
      </c>
      <c r="C179">
        <v>11</v>
      </c>
      <c r="D179">
        <v>2</v>
      </c>
      <c r="E179" s="10">
        <f t="shared" si="2"/>
        <v>0.17291547275865884</v>
      </c>
    </row>
    <row r="180" spans="1:5" x14ac:dyDescent="0.3">
      <c r="A180" t="s">
        <v>376</v>
      </c>
      <c r="B180" t="s">
        <v>643</v>
      </c>
      <c r="C180">
        <v>11</v>
      </c>
      <c r="D180">
        <v>2</v>
      </c>
      <c r="E180" s="10">
        <f t="shared" si="2"/>
        <v>0.17291547275865884</v>
      </c>
    </row>
    <row r="181" spans="1:5" x14ac:dyDescent="0.3">
      <c r="A181" t="s">
        <v>377</v>
      </c>
      <c r="B181" t="s">
        <v>643</v>
      </c>
      <c r="C181">
        <v>11.2</v>
      </c>
      <c r="D181">
        <v>1</v>
      </c>
      <c r="E181" s="10">
        <f t="shared" si="2"/>
        <v>0.31536300180469273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10" sqref="D10"/>
    </sheetView>
  </sheetViews>
  <sheetFormatPr defaultRowHeight="14.4" x14ac:dyDescent="0.3"/>
  <cols>
    <col min="1" max="1" width="21.6640625" bestFit="1" customWidth="1"/>
    <col min="2" max="2" width="24.109375" bestFit="1" customWidth="1"/>
    <col min="3" max="3" width="10.33203125" customWidth="1"/>
    <col min="4" max="4" width="11.77734375" bestFit="1" customWidth="1"/>
  </cols>
  <sheetData>
    <row r="1" spans="1:5" ht="15.6" x14ac:dyDescent="0.3">
      <c r="A1" s="2" t="s">
        <v>636</v>
      </c>
      <c r="B1" s="2" t="s">
        <v>0</v>
      </c>
      <c r="C1" s="2" t="s">
        <v>1</v>
      </c>
      <c r="D1" s="2" t="s">
        <v>2</v>
      </c>
      <c r="E1" s="2" t="s">
        <v>652</v>
      </c>
    </row>
    <row r="2" spans="1:5" x14ac:dyDescent="0.3">
      <c r="A2" t="s">
        <v>532</v>
      </c>
      <c r="B2" t="s">
        <v>642</v>
      </c>
      <c r="C2">
        <v>11.02</v>
      </c>
      <c r="D2">
        <v>1</v>
      </c>
      <c r="E2" s="6">
        <f>STANDARDIZE(C2, AVERAGE($C$2:$C$242), _xlfn.STDEV.S($C$2:$C$242))</f>
        <v>-0.70710678118654635</v>
      </c>
    </row>
    <row r="3" spans="1:5" x14ac:dyDescent="0.3">
      <c r="A3" t="s">
        <v>533</v>
      </c>
      <c r="B3" t="s">
        <v>643</v>
      </c>
      <c r="C3">
        <v>12.1</v>
      </c>
      <c r="D3">
        <v>2</v>
      </c>
      <c r="E3" s="6">
        <f>STANDARDIZE(C3, AVERAGE($C$2:$C$242), _xlfn.STDEV.S($C$2:$C$242))</f>
        <v>0.70710678118654868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GGH- Maternal Hemg at Delivery</vt:lpstr>
      <vt:lpstr>UHC-Maternal Hemg at Delivery</vt:lpstr>
      <vt:lpstr>GSH-Maternal Hemg at Delivery </vt:lpstr>
      <vt:lpstr>GPH-Maternal Hemg at Delivery</vt:lpstr>
      <vt:lpstr>KHC-Maternal Hemg at 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Note</dc:creator>
  <cp:lastModifiedBy>Black Note</cp:lastModifiedBy>
  <dcterms:created xsi:type="dcterms:W3CDTF">2023-11-27T13:22:21Z</dcterms:created>
  <dcterms:modified xsi:type="dcterms:W3CDTF">2024-01-01T13:16:08Z</dcterms:modified>
</cp:coreProperties>
</file>